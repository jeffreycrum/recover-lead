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-andholli\Desktop\"/>
    </mc:Choice>
  </mc:AlternateContent>
  <xr:revisionPtr revIDLastSave="0" documentId="8_{7381AF4D-5B07-4475-B8D8-0C38364C092B}" xr6:coauthVersionLast="47" xr6:coauthVersionMax="47" xr10:uidLastSave="{00000000-0000-0000-0000-000000000000}"/>
  <bookViews>
    <workbookView xWindow="3120" yWindow="3120" windowWidth="21600" windowHeight="11295" xr2:uid="{CE27D024-A8EB-459B-872A-FAC6B788F6EF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4" i="1" l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4" i="1"/>
  <c r="E40" i="1"/>
  <c r="E37" i="1"/>
  <c r="E36" i="1"/>
  <c r="E34" i="1"/>
  <c r="E31" i="1"/>
  <c r="E28" i="1"/>
  <c r="E25" i="1"/>
  <c r="E24" i="1"/>
  <c r="E22" i="1"/>
  <c r="E21" i="1"/>
  <c r="E17" i="1"/>
  <c r="E15" i="1"/>
  <c r="E14" i="1"/>
  <c r="E12" i="1"/>
  <c r="E11" i="1"/>
  <c r="E245" i="1" s="1"/>
</calcChain>
</file>

<file path=xl/sharedStrings.xml><?xml version="1.0" encoding="utf-8"?>
<sst xmlns="http://schemas.openxmlformats.org/spreadsheetml/2006/main" count="448" uniqueCount="448">
  <si>
    <t>TDA</t>
  </si>
  <si>
    <t>SALE DATE</t>
  </si>
  <si>
    <t>PARCEL #</t>
  </si>
  <si>
    <t>REC DATE</t>
  </si>
  <si>
    <t>AMOUNT</t>
  </si>
  <si>
    <t>C2475</t>
  </si>
  <si>
    <t>34-3N-19-19500-00B-0090</t>
  </si>
  <si>
    <t>28-1S-19-23040-00C-0380</t>
  </si>
  <si>
    <t>03-1N-17-04010-00D-0920</t>
  </si>
  <si>
    <t>07-1S-19-23140-000-0610</t>
  </si>
  <si>
    <t>15-1S-19-23040-021-001A</t>
  </si>
  <si>
    <t>15-1S-19-23040-021-0020</t>
  </si>
  <si>
    <t>19-3N-19-19768-00M-0050</t>
  </si>
  <si>
    <t>22-2S-20-33120-005-0150</t>
  </si>
  <si>
    <t>22-2S-20-33120-104-0070</t>
  </si>
  <si>
    <t>22-3N-19-19600-00A-0350</t>
  </si>
  <si>
    <t>25-3S-18-16120-000-0310</t>
  </si>
  <si>
    <t>34-3N-19-19040-000-0280</t>
  </si>
  <si>
    <t>35-2S-21-2410-00B-0050</t>
  </si>
  <si>
    <t>27-2S-20-33300-000-0050</t>
  </si>
  <si>
    <t>29-1S-19-23010-00D-0140</t>
  </si>
  <si>
    <t>25-3N-19-19380-002-0030</t>
  </si>
  <si>
    <t>16-3N-20-28060-044-0180</t>
  </si>
  <si>
    <t>15-3N-20-28070-043-0040</t>
  </si>
  <si>
    <t>19-3N-19-19768-00R-0280</t>
  </si>
  <si>
    <t>05-1S-17-07000-003-0034</t>
  </si>
  <si>
    <t>06-1S-17-07010-00A-0070</t>
  </si>
  <si>
    <t>15-1S-18-14050-00A-0020</t>
  </si>
  <si>
    <t>16-3N-20-28060-008-0100</t>
  </si>
  <si>
    <t>16-3N-20-28060-048-0160</t>
  </si>
  <si>
    <t>16-3N-20-28060-059-0090</t>
  </si>
  <si>
    <t>17-3N-20-28080-021-02180</t>
  </si>
  <si>
    <t>22-2S-20-33120-023-0180</t>
  </si>
  <si>
    <t>22-2S-20-33120-101-0230</t>
  </si>
  <si>
    <t>18-3N-20-28090-004-0290</t>
  </si>
  <si>
    <t>22-2S-20-33120-005-0130</t>
  </si>
  <si>
    <t>19-3N-19-19768-00V-00260</t>
  </si>
  <si>
    <t>15-1S-18-14040-00C-0150</t>
  </si>
  <si>
    <t>01-3N-20-28030-000-0070</t>
  </si>
  <si>
    <t>27-4N-21-38000-001-0150</t>
  </si>
  <si>
    <t>25-4N-21-38000-001-00F0</t>
  </si>
  <si>
    <t>22-1S-19-23040-000-2140</t>
  </si>
  <si>
    <t>12-1S-20-32000-001-0000</t>
  </si>
  <si>
    <t>17-3N-20-28080-090-0010</t>
  </si>
  <si>
    <t>17-3N-20-28080-040-0010</t>
  </si>
  <si>
    <t>28-3N-18-10000-031-0000</t>
  </si>
  <si>
    <t>29-3N-18-10000-004-0030</t>
  </si>
  <si>
    <t>29-4N-20-29000-059-0040</t>
  </si>
  <si>
    <t>30-3N-17-06000-011-0000</t>
  </si>
  <si>
    <t>26-2S-20-33450-000-0030</t>
  </si>
  <si>
    <t>2016-0004TD</t>
  </si>
  <si>
    <t>09-5N-21-39000-010-0000</t>
  </si>
  <si>
    <t>2016-0005TD</t>
  </si>
  <si>
    <t>35-4N-21-38010-000-0370</t>
  </si>
  <si>
    <t>2016-0019TD</t>
  </si>
  <si>
    <t>16-3N-20-28060-032-0190</t>
  </si>
  <si>
    <t>2016-0072TD</t>
  </si>
  <si>
    <t>23-1S-19-23020-00B-0170</t>
  </si>
  <si>
    <t xml:space="preserve">2016-0074TD </t>
  </si>
  <si>
    <t>15-1S-18-14030-00C-0050</t>
  </si>
  <si>
    <t>2016-0077TD</t>
  </si>
  <si>
    <t>19-3N-19-19768-00C-0380</t>
  </si>
  <si>
    <t>2016-0080TD</t>
  </si>
  <si>
    <t>19-3N-19-19768-00K-1270</t>
  </si>
  <si>
    <t>2016-0083TD</t>
  </si>
  <si>
    <t>23-3N-21-37000-001-042A</t>
  </si>
  <si>
    <t>2016-0087TD</t>
  </si>
  <si>
    <t>07-3N-20-28055-016-0160</t>
  </si>
  <si>
    <t>2016-0116TD</t>
  </si>
  <si>
    <t>22-2S-20-33120-117-0020</t>
  </si>
  <si>
    <t>2016-0125TD</t>
  </si>
  <si>
    <t>26-2N-19-18000-042-0020</t>
  </si>
  <si>
    <t>2016-0130TD</t>
  </si>
  <si>
    <t>26-2N-19-18000-042-0010</t>
  </si>
  <si>
    <t>2016-0138TD</t>
  </si>
  <si>
    <t>34-3N-19-19030-00B-0060</t>
  </si>
  <si>
    <t>2016-0156TD</t>
  </si>
  <si>
    <t>19-3N-19-19768-00J-0360</t>
  </si>
  <si>
    <t>2016-0157TD</t>
  </si>
  <si>
    <t>33-2S-20-33280-005-0018</t>
  </si>
  <si>
    <t>2016-0165TD</t>
  </si>
  <si>
    <t>34-1S-19-23080-00C-0080</t>
  </si>
  <si>
    <t>2016-0174TD</t>
  </si>
  <si>
    <t>19-3N-19-19768-00Q-0650</t>
  </si>
  <si>
    <t>2016-0189TD</t>
  </si>
  <si>
    <t>17-3N-20-28080-009-0010</t>
  </si>
  <si>
    <t>2016-0193TD</t>
  </si>
  <si>
    <t>17-3N-20-28080-074-0010</t>
  </si>
  <si>
    <t>2016-0196TD</t>
  </si>
  <si>
    <t>22-1S-19-23040-000-2460</t>
  </si>
  <si>
    <t>2016-0199TD</t>
  </si>
  <si>
    <t>22-1S-19-23040-000-0010</t>
  </si>
  <si>
    <t>2016-0204TD</t>
  </si>
  <si>
    <t>22-1S-19-23040-000-2200</t>
  </si>
  <si>
    <t>2016-0206TD</t>
  </si>
  <si>
    <t>22-1S-19-23040-000-0020</t>
  </si>
  <si>
    <t>2016-0207TD</t>
  </si>
  <si>
    <t>22-1S-19-23040-000-0660</t>
  </si>
  <si>
    <t>2017-0230TD</t>
  </si>
  <si>
    <t>15-2N-17-05000-014-0000</t>
  </si>
  <si>
    <t>2017-0233TD</t>
  </si>
  <si>
    <t>19-3N-19-19768-00D-0120</t>
  </si>
  <si>
    <t>2017-0239TD</t>
  </si>
  <si>
    <t>29-3N-18-10000-032-0020</t>
  </si>
  <si>
    <t>2017-0250TD</t>
  </si>
  <si>
    <t>22-1S-19-23040-000-0500</t>
  </si>
  <si>
    <t>2017-0271TD</t>
  </si>
  <si>
    <t>24-2S-20-33186-000-0150</t>
  </si>
  <si>
    <t>2017-0285TD</t>
  </si>
  <si>
    <t>19-2S-18-15000-007-0020</t>
  </si>
  <si>
    <t>2017-0304TD</t>
  </si>
  <si>
    <t>03-1S-19-23111-000-0020</t>
  </si>
  <si>
    <t>2017-0305TD</t>
  </si>
  <si>
    <t>04-5N-19-21000-010-0010</t>
  </si>
  <si>
    <t>2017-0307TD</t>
  </si>
  <si>
    <t>22-2S-20-33120-103-0180</t>
  </si>
  <si>
    <t>2017-0309TD</t>
  </si>
  <si>
    <t>22-2S-20-33120-120-0240</t>
  </si>
  <si>
    <t xml:space="preserve">2017-0311TD </t>
  </si>
  <si>
    <t>25-3N-19-19330-000-0050</t>
  </si>
  <si>
    <t>2017-0324TD</t>
  </si>
  <si>
    <t>11-4N-21-38000-001-0020</t>
  </si>
  <si>
    <t>2017-0337TD</t>
  </si>
  <si>
    <t>07-3N-20-28055-005-0070</t>
  </si>
  <si>
    <t>2017-0338TD</t>
  </si>
  <si>
    <t>16-3N-20-28060-028-0180</t>
  </si>
  <si>
    <t>2017-0342TD</t>
  </si>
  <si>
    <t>17-3N-20-28080-045-0190</t>
  </si>
  <si>
    <t>2017-0344TD</t>
  </si>
  <si>
    <t>17-3N-20-28080-050-0050</t>
  </si>
  <si>
    <t>2017-0345TD</t>
  </si>
  <si>
    <t>17-3N-20-28080-023-0420</t>
  </si>
  <si>
    <t>2017-0347TD</t>
  </si>
  <si>
    <t>17-3N-20-28080-075-0010</t>
  </si>
  <si>
    <t>2017-0348TD</t>
  </si>
  <si>
    <t>17-3N-20-28080-075-0030</t>
  </si>
  <si>
    <t>2017-0349TD</t>
  </si>
  <si>
    <t>17-3N-20-28080-033-0250</t>
  </si>
  <si>
    <t>2017-0350TD</t>
  </si>
  <si>
    <t>16-3N-20-28060-013-0260</t>
  </si>
  <si>
    <t>2017-0351TD</t>
  </si>
  <si>
    <t>16-3N-20-28060-044-0200</t>
  </si>
  <si>
    <t>2017-0357TD</t>
  </si>
  <si>
    <t>17-3N-20-28080-045-0230</t>
  </si>
  <si>
    <t>2017-0358TD</t>
  </si>
  <si>
    <t>18-3N-20-28056-018-0010</t>
  </si>
  <si>
    <t>2017-0363TD</t>
  </si>
  <si>
    <t>26-2S-20-33450-000-0150</t>
  </si>
  <si>
    <t>2017-0364TD</t>
  </si>
  <si>
    <t>15-2S-20-33160-000-0440</t>
  </si>
  <si>
    <t>2017-0366TD</t>
  </si>
  <si>
    <t>26-2S-20-33450-000-0180</t>
  </si>
  <si>
    <t>2017-0367TD</t>
  </si>
  <si>
    <t>05-1S-17-07000-003-0070</t>
  </si>
  <si>
    <t>2017-0370TD</t>
  </si>
  <si>
    <t>17-3N-20-28080-013-0100</t>
  </si>
  <si>
    <t>2017-0371TD</t>
  </si>
  <si>
    <t>16-1S-19-23000-013-0060</t>
  </si>
  <si>
    <t>2017-0377TD</t>
  </si>
  <si>
    <t>25-3N-19-19190-000-0070</t>
  </si>
  <si>
    <t>2018-0384TD</t>
  </si>
  <si>
    <t>15-1S-19-23000-016-0021</t>
  </si>
  <si>
    <t>2018-0386TD</t>
  </si>
  <si>
    <t>12-2S-18-15015-003-0070</t>
  </si>
  <si>
    <t>2018-0387TD</t>
  </si>
  <si>
    <t>03-1N-17-04010-00B-0250</t>
  </si>
  <si>
    <t>2018-0388TD</t>
  </si>
  <si>
    <t>02-2S-19-24080-00D-0010</t>
  </si>
  <si>
    <t>2018-0391TD</t>
  </si>
  <si>
    <t>09-1N-17-04000-001-0030</t>
  </si>
  <si>
    <t>2018-0402TD</t>
  </si>
  <si>
    <t>19-1S-18-14000-009-0011</t>
  </si>
  <si>
    <t>2018-0478TD</t>
  </si>
  <si>
    <t>26-2S-20-33200-000-0440</t>
  </si>
  <si>
    <t>2018-0482TD</t>
  </si>
  <si>
    <t>02-3N-21-37000-001-0020</t>
  </si>
  <si>
    <t>2018-0504TD</t>
  </si>
  <si>
    <t>19-3N-19-19768-00F-0060</t>
  </si>
  <si>
    <t>2018-0563TD</t>
  </si>
  <si>
    <t>16-3N-20-28060-060-0240</t>
  </si>
  <si>
    <t>2018-0567TD</t>
  </si>
  <si>
    <t>16-1S-19-23010-000-0070</t>
  </si>
  <si>
    <t>2018-0582TD</t>
  </si>
  <si>
    <t>03-1N-17-04010-00D-0960</t>
  </si>
  <si>
    <t>2018-0592TD</t>
  </si>
  <si>
    <t>34-1S-19-23080-00F-0080</t>
  </si>
  <si>
    <t>2018-0599TD</t>
  </si>
  <si>
    <t>23-3N-19-19000-022-0000</t>
  </si>
  <si>
    <t>2018-0609TD</t>
  </si>
  <si>
    <t>17-3N-20-28080-025-0010</t>
  </si>
  <si>
    <t>2018-0612TD</t>
  </si>
  <si>
    <t>25-3N-19-19020-000-0041</t>
  </si>
  <si>
    <t>2018-0615TD</t>
  </si>
  <si>
    <t>16-3N-20-28060-059-0010</t>
  </si>
  <si>
    <t>2018-0620TD</t>
  </si>
  <si>
    <t>17-3N-20-28080-062-0030</t>
  </si>
  <si>
    <t>2019-0004TD</t>
  </si>
  <si>
    <t>17-3N-20-28080-023-0190</t>
  </si>
  <si>
    <t>2019-0006TD</t>
  </si>
  <si>
    <t>17-3N-20-28080-025-0390</t>
  </si>
  <si>
    <t>2019-0009TD</t>
  </si>
  <si>
    <t>17-3N-20-28080-023-0040</t>
  </si>
  <si>
    <t>2019-0011TD</t>
  </si>
  <si>
    <t>17-3N-20-28080-023-0010</t>
  </si>
  <si>
    <t>2019-0012TD</t>
  </si>
  <si>
    <t>17-3N-20-28080-097-0010</t>
  </si>
  <si>
    <t>2019-0013TD</t>
  </si>
  <si>
    <t>17-3N-20-28080-095-0180</t>
  </si>
  <si>
    <t>2019-0014TD</t>
  </si>
  <si>
    <t>18-3N-20-28056-013-0180</t>
  </si>
  <si>
    <t>2019-0018TD</t>
  </si>
  <si>
    <t>36-1N-17-04040-00B-0050</t>
  </si>
  <si>
    <t>2019-0022TD</t>
  </si>
  <si>
    <t>16-3N-20-28060-021-0070</t>
  </si>
  <si>
    <t>2019-0027TD</t>
  </si>
  <si>
    <t>29-3N-19-19000-012-0170</t>
  </si>
  <si>
    <t>2019-0028TD</t>
  </si>
  <si>
    <t>17-3N-20-28080-073-0030</t>
  </si>
  <si>
    <t>2019-0029TD</t>
  </si>
  <si>
    <t>17-3N-20-28080-059-0040</t>
  </si>
  <si>
    <t>2019-0030TD</t>
  </si>
  <si>
    <t>17-3N-20-28080-085-0240</t>
  </si>
  <si>
    <t>2019-0031TD</t>
  </si>
  <si>
    <t>17-3N-20-28080-085-0250</t>
  </si>
  <si>
    <t>2019-0032TD</t>
  </si>
  <si>
    <t>17-3N-20-28080-054-0090</t>
  </si>
  <si>
    <t>2019-0049TD</t>
  </si>
  <si>
    <t>16-3N-20-28060-050-0130</t>
  </si>
  <si>
    <t>2019-0113TD</t>
  </si>
  <si>
    <t>17-3N-20-28080-067-0070</t>
  </si>
  <si>
    <t>2019-0114TD</t>
  </si>
  <si>
    <t>15-3N-20-28070-030-0130</t>
  </si>
  <si>
    <t>2019-0121TD</t>
  </si>
  <si>
    <t>17-3N-20-28080-085-0170</t>
  </si>
  <si>
    <t>2019-0127TD</t>
  </si>
  <si>
    <t>17-3N-20-28080-059-0130</t>
  </si>
  <si>
    <t>2019-0130TD</t>
  </si>
  <si>
    <t>16-3N-20-28060-002-0240</t>
  </si>
  <si>
    <t>2019-0131TD</t>
  </si>
  <si>
    <t>17-3N-20-28080-078-0140</t>
  </si>
  <si>
    <t>2019-0132TD</t>
  </si>
  <si>
    <t>16-3N-20-28060-036-0130</t>
  </si>
  <si>
    <t>2019-0134TD</t>
  </si>
  <si>
    <t>16-3N-20-28060-011-0190</t>
  </si>
  <si>
    <t>2019-0137TD</t>
  </si>
  <si>
    <t>17-3N-20-28080-072-0030</t>
  </si>
  <si>
    <t>2019-0141TD</t>
  </si>
  <si>
    <t>16-3N-20-28060-057-0220</t>
  </si>
  <si>
    <t>2019-0143TD</t>
  </si>
  <si>
    <t>17-3N-20-28080-033-0030</t>
  </si>
  <si>
    <t>2019-0162TD</t>
  </si>
  <si>
    <t>12-3N-21-37050-005-0010</t>
  </si>
  <si>
    <t>2019-0166TD</t>
  </si>
  <si>
    <t>30-6N-20-31000-004-0000</t>
  </si>
  <si>
    <t>2019-0168TD</t>
  </si>
  <si>
    <t>29-5N-21-39010-000-0041</t>
  </si>
  <si>
    <t>2019-0175TD</t>
  </si>
  <si>
    <t>17-3N-20-28080-085-0010</t>
  </si>
  <si>
    <t>2019-0176TD</t>
  </si>
  <si>
    <t>18-3N-20-28056-017-0140</t>
  </si>
  <si>
    <t>2019-0177TD</t>
  </si>
  <si>
    <t>35-6N-19-22000-004-0030</t>
  </si>
  <si>
    <t>2020-0004TD</t>
  </si>
  <si>
    <t>36-3N-19-19050-000-0037</t>
  </si>
  <si>
    <t>2020-0005TD</t>
  </si>
  <si>
    <t>25-3N-19-19560-000-0270</t>
  </si>
  <si>
    <t>2020-0007TD</t>
  </si>
  <si>
    <t>14-3N-17-06000-002-0000</t>
  </si>
  <si>
    <t>2020-0028TD</t>
  </si>
  <si>
    <t>34-6N-21-40000-010-0010</t>
  </si>
  <si>
    <t>2020-0061TD</t>
  </si>
  <si>
    <t>25-3N-19-19070-001-6235</t>
  </si>
  <si>
    <t>2020-0064TD</t>
  </si>
  <si>
    <t>05-1S-17-07000-034-0020</t>
  </si>
  <si>
    <t>2020-0082TD</t>
  </si>
  <si>
    <t>17-3N-20-28080-085-0040</t>
  </si>
  <si>
    <t>2020-0092TD</t>
  </si>
  <si>
    <t>33-6N-20-31010-000-0180</t>
  </si>
  <si>
    <t>2020-0097TD</t>
  </si>
  <si>
    <t>07-3N-20-28055-019-0010</t>
  </si>
  <si>
    <t>2020-0100TD</t>
  </si>
  <si>
    <t>16-3N-20-28060-025-0450</t>
  </si>
  <si>
    <t>2020-0102TD</t>
  </si>
  <si>
    <t>25-3N-19-19070-001-7080</t>
  </si>
  <si>
    <t>2021-0013TD</t>
  </si>
  <si>
    <t>36-3N-19-19600-000-0381</t>
  </si>
  <si>
    <t>2021-0034TD</t>
  </si>
  <si>
    <t>09-3N-19-19700-00G-0001</t>
  </si>
  <si>
    <t>2021-0037TD</t>
  </si>
  <si>
    <t>11-3S-19-25010-000-00K0</t>
  </si>
  <si>
    <t>2021-0053TD</t>
  </si>
  <si>
    <t>33-6N-20-31010-000-0480</t>
  </si>
  <si>
    <t>2021-0062TD</t>
  </si>
  <si>
    <t>29-5N-21-39000-002-0015</t>
  </si>
  <si>
    <t>2021-0071TD</t>
  </si>
  <si>
    <t>01-3N-20-28040-00A-0060</t>
  </si>
  <si>
    <t>2021-0101TD</t>
  </si>
  <si>
    <t>01-3N-20-28030-000-0160</t>
  </si>
  <si>
    <t>2021-0102TD</t>
  </si>
  <si>
    <t>19-2S-18-15010-000-4290</t>
  </si>
  <si>
    <t>2021-0107TD</t>
  </si>
  <si>
    <t>17-3N-20-28080-025-0040</t>
  </si>
  <si>
    <t>2021-0108TD</t>
  </si>
  <si>
    <t>16-3N-20-28060-019-0010</t>
  </si>
  <si>
    <t>2021-0117TD</t>
  </si>
  <si>
    <t>34-3N-19-19030-00G-0010</t>
  </si>
  <si>
    <t>2021-0118TD</t>
  </si>
  <si>
    <t>19-2S-18-15010-000-4280</t>
  </si>
  <si>
    <t>2021-0121TD</t>
  </si>
  <si>
    <t>29-6N-20-31000-002-0010</t>
  </si>
  <si>
    <t>2021-0134TD</t>
  </si>
  <si>
    <t>25-3N-19-19400-000-0090</t>
  </si>
  <si>
    <t>2021-0135TD</t>
  </si>
  <si>
    <t>34-3N-19-19030-00E-0030</t>
  </si>
  <si>
    <t>2021-0142TD</t>
  </si>
  <si>
    <t>17-3N-18-10020-006-0130</t>
  </si>
  <si>
    <t>2021-0145TD</t>
  </si>
  <si>
    <t>22-2S-20-33120-090-0080</t>
  </si>
  <si>
    <t>2021-0147TD</t>
  </si>
  <si>
    <t>02-2S-19-24310-000-0090</t>
  </si>
  <si>
    <t>2021-0148TD</t>
  </si>
  <si>
    <t>17-3N-18-10024-005-0170</t>
  </si>
  <si>
    <t>2021-0151TD</t>
  </si>
  <si>
    <t>02-2S-19-24080-00F-0350</t>
  </si>
  <si>
    <t>2022-0006TD</t>
  </si>
  <si>
    <t>19-3N-19-19768-00Q-0130</t>
  </si>
  <si>
    <t>2022-0010TD</t>
  </si>
  <si>
    <t>07-3N-19-19780-000-0222</t>
  </si>
  <si>
    <t>2022-0017TD</t>
  </si>
  <si>
    <t>16-3N-20-28060-055-0060</t>
  </si>
  <si>
    <t>2022-0033TD</t>
  </si>
  <si>
    <t>13-3S-19-25000-007-0010</t>
  </si>
  <si>
    <t>2022-0059TD</t>
  </si>
  <si>
    <t>17-3N-20-28080-055-0020</t>
  </si>
  <si>
    <t>2022-0070TD</t>
  </si>
  <si>
    <t>09-3N-19-197000-00E-0050</t>
  </si>
  <si>
    <t>2022-0073TD</t>
  </si>
  <si>
    <t>09-3N-19-19700-00M-0060</t>
  </si>
  <si>
    <t>2022-0084TD</t>
  </si>
  <si>
    <t>15-3N-20-28070-033-0510</t>
  </si>
  <si>
    <t>2023-0006TD</t>
  </si>
  <si>
    <t>07-3N-20-28055-006-0020</t>
  </si>
  <si>
    <t>2023-0007TD</t>
  </si>
  <si>
    <t>08-3N-20-28000-004-0134</t>
  </si>
  <si>
    <t>2023-0014TD</t>
  </si>
  <si>
    <t>19-2S-18-15010-000-4010</t>
  </si>
  <si>
    <t>2023-0016TD</t>
  </si>
  <si>
    <t>17-3N-20-28080-014-0010</t>
  </si>
  <si>
    <t>2023-0017TD</t>
  </si>
  <si>
    <t>10-3N-19-19710-000-0190</t>
  </si>
  <si>
    <t>2023-0022TD</t>
  </si>
  <si>
    <t>13-2S-21-42251-000-00DO</t>
  </si>
  <si>
    <t>2023-0048TD</t>
  </si>
  <si>
    <t>06-3N-19-19770-000-0485</t>
  </si>
  <si>
    <t>2023-0053TD</t>
  </si>
  <si>
    <t>30-3N-18-10000-027-0021</t>
  </si>
  <si>
    <t>2023-0089TD</t>
  </si>
  <si>
    <t>11-3S-19-25010-000-00F0</t>
  </si>
  <si>
    <t>2023-0090TD</t>
  </si>
  <si>
    <t>35-6N-21-40030-001-0030</t>
  </si>
  <si>
    <t>2023-0120TD</t>
  </si>
  <si>
    <t>23-3N-20-28000-001-0000</t>
  </si>
  <si>
    <t>2023-0125TD</t>
  </si>
  <si>
    <t>07-3N-20-28055-006-0110</t>
  </si>
  <si>
    <t>2023-0128TD</t>
  </si>
  <si>
    <t>15-3N-20-28070-034-0060</t>
  </si>
  <si>
    <t>2023-0129TD</t>
  </si>
  <si>
    <t xml:space="preserve">25-3N-19-19070-001-8690 </t>
  </si>
  <si>
    <t>2023-0130TD</t>
  </si>
  <si>
    <t>25-3N-19-19070-001-6582</t>
  </si>
  <si>
    <t>2024-0003TD</t>
  </si>
  <si>
    <t>19-3N-19-19352-000-0190</t>
  </si>
  <si>
    <t>2024-0008TD</t>
  </si>
  <si>
    <t>07-3N-16-03000-006-0010</t>
  </si>
  <si>
    <t>2024-0009TD</t>
  </si>
  <si>
    <t>16-3N-20-28060-001-0300</t>
  </si>
  <si>
    <t>2024-0017TD</t>
  </si>
  <si>
    <t>23-3N-19-19000-029-0000</t>
  </si>
  <si>
    <t>2024-0018TD</t>
  </si>
  <si>
    <t>16-3N-20-28060-057-0120</t>
  </si>
  <si>
    <t>2024-0020TD</t>
  </si>
  <si>
    <t>15-3N-20-28070-043-0180</t>
  </si>
  <si>
    <t>2024-0021TD</t>
  </si>
  <si>
    <t>18-3N-20-28056-011-0070</t>
  </si>
  <si>
    <t>2024-0023TD</t>
  </si>
  <si>
    <t>15-3N-20-28070-041-0030</t>
  </si>
  <si>
    <t>2024-0029TD</t>
  </si>
  <si>
    <t>17-3N-18-10020-002-0010</t>
  </si>
  <si>
    <t>2024-0030TD</t>
  </si>
  <si>
    <t>17-3N-18-10021-005-0010</t>
  </si>
  <si>
    <t>2024-0041TD</t>
  </si>
  <si>
    <t>15-3N-20-28070-004-0030</t>
  </si>
  <si>
    <t>2024-0060TD</t>
  </si>
  <si>
    <t>25-3N-19-19070-001-8483</t>
  </si>
  <si>
    <t>2024-0067TD</t>
  </si>
  <si>
    <t>19-3N-19-19768-00C-0170</t>
  </si>
  <si>
    <t>2024-0069TD</t>
  </si>
  <si>
    <t>07-3N-20-28055-018-0110</t>
  </si>
  <si>
    <t>2024-0070TD</t>
  </si>
  <si>
    <t>30-4N-20-29000-005-0260</t>
  </si>
  <si>
    <t>2024-0071TD</t>
  </si>
  <si>
    <t>22-2S-20-33120-024-0080</t>
  </si>
  <si>
    <t>2024-0080TD</t>
  </si>
  <si>
    <t>19-3N-19-19768-00J-0380</t>
  </si>
  <si>
    <t>2024-0082TD</t>
  </si>
  <si>
    <t>22-2S-20-33120-083-0040</t>
  </si>
  <si>
    <t>2024-0096TD</t>
  </si>
  <si>
    <t>22-2S-20-33120-118-0040</t>
  </si>
  <si>
    <t>2024-0097TD</t>
  </si>
  <si>
    <t>22-2S-20-33120-088-0010</t>
  </si>
  <si>
    <t>2024-0100TD</t>
  </si>
  <si>
    <t>17-3N-20-28080-012-0170</t>
  </si>
  <si>
    <t>2024-0111TD</t>
  </si>
  <si>
    <t>32-4N-20-29000-010-0000</t>
  </si>
  <si>
    <t>2024-0118TD</t>
  </si>
  <si>
    <t>29-4N-20-29000-001-0130</t>
  </si>
  <si>
    <t>2024-0121TD</t>
  </si>
  <si>
    <t>36-4N-21-38030-012-0010</t>
  </si>
  <si>
    <t>2024-0122TD</t>
  </si>
  <si>
    <t>19-3N-19-19768-00C-0570</t>
  </si>
  <si>
    <t>2024-0123TD</t>
  </si>
  <si>
    <t>15-1S-19-23100-00E-0050</t>
  </si>
  <si>
    <t>2025-0001TD</t>
  </si>
  <si>
    <t>19-1N-17-04000-001-0100</t>
  </si>
  <si>
    <t>2025-0002TD</t>
  </si>
  <si>
    <t>16-3N-20-28060-027-0080</t>
  </si>
  <si>
    <t>2025-0005TD</t>
  </si>
  <si>
    <t>15-3N-20-28070-035-0100</t>
  </si>
  <si>
    <t>2025-0030TD</t>
  </si>
  <si>
    <t>22-2S-20-33120-082-0020</t>
  </si>
  <si>
    <t>2025-0038TD</t>
  </si>
  <si>
    <t>24-2S-20-33310-000-0210</t>
  </si>
  <si>
    <t>2025-0041TD</t>
  </si>
  <si>
    <t>17-3N-20-28080-074-0050</t>
  </si>
  <si>
    <t>2025-0075TD</t>
  </si>
  <si>
    <t>16-3N-20-28060-011-0320</t>
  </si>
  <si>
    <t>2025-0074TD</t>
  </si>
  <si>
    <t>16-3N-20-28060-034-0150</t>
  </si>
  <si>
    <t>2025-0080TD</t>
  </si>
  <si>
    <t>16-3N-20-28060-014-0200</t>
  </si>
  <si>
    <t>2025-0079TD</t>
  </si>
  <si>
    <t>17-3N-20-28080-080-0010</t>
  </si>
  <si>
    <t>2025-0090TD</t>
  </si>
  <si>
    <t>02-2N-18-09000-024-0000</t>
  </si>
  <si>
    <t>2025-0092TD</t>
  </si>
  <si>
    <t>09-3N-19-19700-00N-0680</t>
  </si>
  <si>
    <t>2026-0001TD</t>
  </si>
  <si>
    <t>08-3N-20-28040-008-0420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</si>
</sst>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;@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/>
    <xf numFmtId="43" fontId="0" fillId="0" borderId="0" xfId="0" applyNumberFormat="1"/>
    <xf numFmtId="0" fontId="0" fillId="0" borderId="0" xfId="0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/>
    <xf numFmtId="43" fontId="2" fillId="0" borderId="0" xfId="0" applyNumberFormat="1" applyFont="1"/>
    <xf numFmtId="0" fontId="2" fillId="0" borderId="0" xfId="0" applyFont="1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F73D-AD9B-48D4-954E-65870EE81F86}">
  <sheetPr>
    <pageSetUpPr fitToPage="1"/>
  </sheetPr>
  <dimension ref="A1:F245"/>
  <sheetViews>
    <sheetView tabSelected="1" zoomScaleNormal="100" workbookViewId="0">
      <pane ySplit="1" topLeftCell="A2" activePane="bottomLeft" state="frozen"/>
      <selection pane="bottomLeft" activeCell="G232" sqref="G232"/>
    </sheetView>
  </sheetViews>
  <sheetFormatPr defaultRowHeight="15" x14ac:dyDescent="0.25"/>
  <cols>
    <col min="1" max="1" width="12" style="1" bestFit="1" customWidth="1"/>
    <col min="2" max="2" width="10.7109375" style="2" bestFit="1" customWidth="1"/>
    <col min="3" max="3" width="24.140625" style="9" bestFit="1" customWidth="1"/>
    <col min="4" max="4" width="10.7109375" style="4" bestFit="1" customWidth="1"/>
    <col min="5" max="5" width="13.28515625" style="5" bestFit="1" customWidth="1"/>
    <col min="6" max="6" width="34.85546875" customWidth="1"/>
    <col min="7" max="7" width="32.42578125" customWidth="1"/>
    <col min="8" max="8" width="12.5703125" customWidth="1"/>
    <col min="9" max="9" width="20.5703125" customWidth="1"/>
    <col min="10" max="10" width="11.28515625" bestFit="1" customWidth="1"/>
    <col min="11" max="12" width="9.5703125" bestFit="1" customWidth="1"/>
  </cols>
  <sheetData>
    <row r="1" spans="1:6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6" x14ac:dyDescent="0.25">
      <c r="A2" s="1" t="s">
        <v>5</v>
      </c>
      <c r="B2" s="2">
        <v>40164</v>
      </c>
      <c r="C2" s="6" t="s">
        <v>6</v>
      </c>
      <c r="D2" s="4">
        <v>40164</v>
      </c>
      <c r="E2" s="5">
        <v>150.41</v>
      </c>
      <c r="F2" s="7"/>
    </row>
    <row r="3" spans="1:6" x14ac:dyDescent="0.25">
      <c r="A3" s="1">
        <v>110140</v>
      </c>
      <c r="B3" s="2">
        <v>40927</v>
      </c>
      <c r="C3" s="8" t="s">
        <v>7</v>
      </c>
      <c r="D3" s="4">
        <v>40927</v>
      </c>
      <c r="E3" s="5">
        <v>931.6</v>
      </c>
    </row>
    <row r="4" spans="1:6" x14ac:dyDescent="0.25">
      <c r="A4" s="1">
        <v>130009</v>
      </c>
      <c r="B4" s="2">
        <v>41410</v>
      </c>
      <c r="C4" s="8" t="s">
        <v>8</v>
      </c>
      <c r="D4" s="4">
        <v>41410</v>
      </c>
      <c r="E4" s="5">
        <v>83.16</v>
      </c>
    </row>
    <row r="5" spans="1:6" x14ac:dyDescent="0.25">
      <c r="A5" s="1">
        <v>130123</v>
      </c>
      <c r="B5" s="2">
        <v>41655</v>
      </c>
      <c r="C5" s="6" t="s">
        <v>9</v>
      </c>
      <c r="D5" s="4">
        <v>41655</v>
      </c>
      <c r="E5" s="5">
        <v>85.3</v>
      </c>
    </row>
    <row r="6" spans="1:6" x14ac:dyDescent="0.25">
      <c r="A6" s="1">
        <v>130140</v>
      </c>
      <c r="B6" s="2">
        <v>41646</v>
      </c>
      <c r="C6" s="6" t="s">
        <v>10</v>
      </c>
      <c r="D6" s="4">
        <v>41647</v>
      </c>
      <c r="E6" s="5">
        <v>272.17</v>
      </c>
    </row>
    <row r="7" spans="1:6" x14ac:dyDescent="0.25">
      <c r="A7" s="1">
        <v>130153</v>
      </c>
      <c r="B7" s="2">
        <v>41809</v>
      </c>
      <c r="C7" s="8" t="s">
        <v>11</v>
      </c>
      <c r="D7" s="4">
        <v>41810</v>
      </c>
      <c r="E7" s="5">
        <v>1173.98</v>
      </c>
    </row>
    <row r="8" spans="1:6" x14ac:dyDescent="0.25">
      <c r="A8" s="1">
        <v>130157</v>
      </c>
      <c r="B8" s="2">
        <v>41660</v>
      </c>
      <c r="C8" s="6" t="s">
        <v>12</v>
      </c>
      <c r="D8" s="4">
        <v>41661</v>
      </c>
      <c r="E8" s="5">
        <v>2232.06</v>
      </c>
    </row>
    <row r="9" spans="1:6" x14ac:dyDescent="0.25">
      <c r="A9" s="1">
        <v>130167</v>
      </c>
      <c r="B9" s="2">
        <v>41676</v>
      </c>
      <c r="C9" s="8" t="s">
        <v>13</v>
      </c>
      <c r="D9" s="4">
        <v>41681</v>
      </c>
      <c r="E9" s="5">
        <v>5614.2</v>
      </c>
    </row>
    <row r="10" spans="1:6" x14ac:dyDescent="0.25">
      <c r="A10" s="1">
        <v>130170</v>
      </c>
      <c r="B10" s="2">
        <v>41667</v>
      </c>
      <c r="C10" s="6" t="s">
        <v>14</v>
      </c>
      <c r="D10" s="4">
        <v>41670</v>
      </c>
      <c r="E10" s="5">
        <v>1706.8</v>
      </c>
    </row>
    <row r="11" spans="1:6" x14ac:dyDescent="0.25">
      <c r="A11" s="1">
        <v>130171</v>
      </c>
      <c r="B11" s="2">
        <v>41667</v>
      </c>
      <c r="C11" s="8" t="s">
        <v>15</v>
      </c>
      <c r="D11" s="4">
        <v>41674</v>
      </c>
      <c r="E11" s="5">
        <f>3747.22+340</f>
        <v>4087.22</v>
      </c>
    </row>
    <row r="12" spans="1:6" x14ac:dyDescent="0.25">
      <c r="A12" s="1">
        <v>130216</v>
      </c>
      <c r="B12" s="2">
        <v>41697</v>
      </c>
      <c r="C12" s="6" t="s">
        <v>16</v>
      </c>
      <c r="D12" s="4">
        <v>41703</v>
      </c>
      <c r="E12" s="5">
        <f>17769.89+1045</f>
        <v>18814.89</v>
      </c>
    </row>
    <row r="13" spans="1:6" x14ac:dyDescent="0.25">
      <c r="A13" s="1">
        <v>130239</v>
      </c>
      <c r="B13" s="2">
        <v>41674</v>
      </c>
      <c r="C13" s="6" t="s">
        <v>17</v>
      </c>
      <c r="D13" s="4">
        <v>41681</v>
      </c>
      <c r="E13" s="5">
        <v>251.32</v>
      </c>
    </row>
    <row r="14" spans="1:6" x14ac:dyDescent="0.25">
      <c r="A14" s="1">
        <v>130241</v>
      </c>
      <c r="B14" s="2">
        <v>41718</v>
      </c>
      <c r="C14" s="9" t="s">
        <v>18</v>
      </c>
      <c r="D14" s="4">
        <v>41726</v>
      </c>
      <c r="E14" s="5">
        <f>8389.97+550</f>
        <v>8939.9699999999993</v>
      </c>
    </row>
    <row r="15" spans="1:6" x14ac:dyDescent="0.25">
      <c r="A15" s="1">
        <v>130246</v>
      </c>
      <c r="B15" s="2">
        <v>41718</v>
      </c>
      <c r="C15" s="8" t="s">
        <v>19</v>
      </c>
      <c r="D15" s="4">
        <v>41726</v>
      </c>
      <c r="E15" s="5">
        <f>5946.64+430</f>
        <v>6376.64</v>
      </c>
    </row>
    <row r="16" spans="1:6" x14ac:dyDescent="0.25">
      <c r="A16" s="1">
        <v>130250</v>
      </c>
      <c r="B16" s="2">
        <v>41674</v>
      </c>
      <c r="C16" s="8" t="s">
        <v>20</v>
      </c>
      <c r="D16" s="4">
        <v>41681</v>
      </c>
      <c r="E16" s="5">
        <v>1847.32</v>
      </c>
    </row>
    <row r="17" spans="1:5" x14ac:dyDescent="0.25">
      <c r="A17" s="1">
        <v>130271</v>
      </c>
      <c r="B17" s="2">
        <v>41779</v>
      </c>
      <c r="C17" s="8" t="s">
        <v>21</v>
      </c>
      <c r="D17" s="4">
        <v>41788</v>
      </c>
      <c r="E17" s="5">
        <f>6625.97+505</f>
        <v>7130.97</v>
      </c>
    </row>
    <row r="18" spans="1:5" x14ac:dyDescent="0.25">
      <c r="A18" s="1">
        <v>130312</v>
      </c>
      <c r="B18" s="2">
        <v>41751</v>
      </c>
      <c r="C18" s="9" t="s">
        <v>22</v>
      </c>
      <c r="D18" s="4">
        <v>41810</v>
      </c>
      <c r="E18" s="5">
        <v>1723.99</v>
      </c>
    </row>
    <row r="19" spans="1:5" x14ac:dyDescent="0.25">
      <c r="A19" s="1">
        <v>140004</v>
      </c>
      <c r="B19" s="2">
        <v>41855</v>
      </c>
      <c r="C19" s="9" t="s">
        <v>23</v>
      </c>
      <c r="D19" s="4">
        <v>41866</v>
      </c>
      <c r="E19" s="5">
        <v>157.79</v>
      </c>
    </row>
    <row r="20" spans="1:5" x14ac:dyDescent="0.25">
      <c r="A20" s="1">
        <v>140031</v>
      </c>
      <c r="B20" s="2">
        <v>41855</v>
      </c>
      <c r="C20" s="8" t="s">
        <v>24</v>
      </c>
      <c r="D20" s="4">
        <v>41865</v>
      </c>
      <c r="E20" s="5">
        <v>4681.43</v>
      </c>
    </row>
    <row r="21" spans="1:5" x14ac:dyDescent="0.25">
      <c r="A21" s="1">
        <v>140048</v>
      </c>
      <c r="B21" s="2">
        <v>41898</v>
      </c>
      <c r="C21" s="8" t="s">
        <v>25</v>
      </c>
      <c r="D21" s="4">
        <v>41899</v>
      </c>
      <c r="E21" s="5">
        <f>460+7449.42</f>
        <v>7909.42</v>
      </c>
    </row>
    <row r="22" spans="1:5" s="15" customFormat="1" x14ac:dyDescent="0.25">
      <c r="A22" s="10">
        <v>140049</v>
      </c>
      <c r="B22" s="11">
        <v>41898</v>
      </c>
      <c r="C22" s="12" t="s">
        <v>26</v>
      </c>
      <c r="D22" s="13">
        <v>41899</v>
      </c>
      <c r="E22" s="14">
        <f>2564.01-58.31+200</f>
        <v>2705.7000000000003</v>
      </c>
    </row>
    <row r="23" spans="1:5" x14ac:dyDescent="0.25">
      <c r="A23" s="1">
        <v>140114</v>
      </c>
      <c r="B23" s="2">
        <v>42012</v>
      </c>
      <c r="C23" s="8" t="s">
        <v>27</v>
      </c>
      <c r="D23" s="4">
        <v>42013</v>
      </c>
      <c r="E23" s="5">
        <v>12485.57</v>
      </c>
    </row>
    <row r="24" spans="1:5" x14ac:dyDescent="0.25">
      <c r="A24" s="1">
        <v>140135</v>
      </c>
      <c r="B24" s="2">
        <v>42108</v>
      </c>
      <c r="C24" s="9" t="s">
        <v>28</v>
      </c>
      <c r="D24" s="4">
        <v>42108</v>
      </c>
      <c r="E24" s="5">
        <f>629.9+199.28</f>
        <v>829.18</v>
      </c>
    </row>
    <row r="25" spans="1:5" x14ac:dyDescent="0.25">
      <c r="A25" s="1">
        <v>140136</v>
      </c>
      <c r="B25" s="2">
        <v>42109</v>
      </c>
      <c r="C25" s="9" t="s">
        <v>29</v>
      </c>
      <c r="D25" s="4">
        <v>42109</v>
      </c>
      <c r="E25" s="5">
        <f>186.06+692.07</f>
        <v>878.13000000000011</v>
      </c>
    </row>
    <row r="26" spans="1:5" x14ac:dyDescent="0.25">
      <c r="A26" s="1">
        <v>140137</v>
      </c>
      <c r="B26" s="2">
        <v>42108</v>
      </c>
      <c r="C26" s="9" t="s">
        <v>30</v>
      </c>
      <c r="D26" s="4">
        <v>42108</v>
      </c>
      <c r="E26" s="5">
        <v>1054.75</v>
      </c>
    </row>
    <row r="27" spans="1:5" x14ac:dyDescent="0.25">
      <c r="A27" s="1">
        <v>140138</v>
      </c>
      <c r="B27" s="2">
        <v>42108</v>
      </c>
      <c r="C27" s="9" t="s">
        <v>31</v>
      </c>
      <c r="D27" s="4">
        <v>42108</v>
      </c>
      <c r="E27" s="5">
        <v>482.63</v>
      </c>
    </row>
    <row r="28" spans="1:5" x14ac:dyDescent="0.25">
      <c r="A28" s="1">
        <v>140143</v>
      </c>
      <c r="B28" s="2">
        <v>42131</v>
      </c>
      <c r="C28" s="9" t="s">
        <v>32</v>
      </c>
      <c r="D28" s="4">
        <v>42132</v>
      </c>
      <c r="E28" s="5">
        <f>1761.21+234.65</f>
        <v>1995.8600000000001</v>
      </c>
    </row>
    <row r="29" spans="1:5" x14ac:dyDescent="0.25">
      <c r="A29" s="1">
        <v>140145</v>
      </c>
      <c r="B29" s="2">
        <v>42145</v>
      </c>
      <c r="C29" s="9" t="s">
        <v>33</v>
      </c>
      <c r="D29" s="4">
        <v>42146</v>
      </c>
      <c r="E29" s="5">
        <v>3760.35</v>
      </c>
    </row>
    <row r="30" spans="1:5" x14ac:dyDescent="0.25">
      <c r="A30" s="1">
        <v>140150</v>
      </c>
      <c r="B30" s="2">
        <v>42229</v>
      </c>
      <c r="C30" s="9" t="s">
        <v>34</v>
      </c>
      <c r="D30" s="4">
        <v>42229</v>
      </c>
      <c r="E30" s="5">
        <v>1190.3499999999999</v>
      </c>
    </row>
    <row r="31" spans="1:5" x14ac:dyDescent="0.25">
      <c r="A31" s="1">
        <v>150029</v>
      </c>
      <c r="B31" s="2">
        <v>42250</v>
      </c>
      <c r="C31" s="9" t="s">
        <v>35</v>
      </c>
      <c r="D31" s="4">
        <v>42251</v>
      </c>
      <c r="E31" s="5">
        <f>6573.74+605</f>
        <v>7178.74</v>
      </c>
    </row>
    <row r="32" spans="1:5" x14ac:dyDescent="0.25">
      <c r="A32" s="1">
        <v>150032</v>
      </c>
      <c r="B32" s="2">
        <v>42250</v>
      </c>
      <c r="C32" s="9" t="s">
        <v>36</v>
      </c>
      <c r="D32" s="4">
        <v>42251</v>
      </c>
      <c r="E32" s="5">
        <v>55.51</v>
      </c>
    </row>
    <row r="33" spans="1:5" x14ac:dyDescent="0.25">
      <c r="A33" s="1">
        <v>150050</v>
      </c>
      <c r="B33" s="2">
        <v>42257</v>
      </c>
      <c r="C33" s="9" t="s">
        <v>37</v>
      </c>
      <c r="D33" s="4">
        <v>42258</v>
      </c>
      <c r="E33" s="5">
        <v>8537.0300000000007</v>
      </c>
    </row>
    <row r="34" spans="1:5" x14ac:dyDescent="0.25">
      <c r="A34" s="1">
        <v>150109</v>
      </c>
      <c r="B34" s="2">
        <v>42292</v>
      </c>
      <c r="C34" s="9" t="s">
        <v>38</v>
      </c>
      <c r="D34" s="4">
        <v>42293</v>
      </c>
      <c r="E34" s="5">
        <f>3613.46-1806.73</f>
        <v>1806.73</v>
      </c>
    </row>
    <row r="35" spans="1:5" x14ac:dyDescent="0.25">
      <c r="A35" s="1">
        <v>150124</v>
      </c>
      <c r="B35" s="2">
        <v>42299</v>
      </c>
      <c r="C35" s="9" t="s">
        <v>39</v>
      </c>
      <c r="D35" s="4">
        <v>42300</v>
      </c>
      <c r="E35" s="5">
        <v>6414.08</v>
      </c>
    </row>
    <row r="36" spans="1:5" x14ac:dyDescent="0.25">
      <c r="A36" s="1">
        <v>150128</v>
      </c>
      <c r="B36" s="2">
        <v>42299</v>
      </c>
      <c r="C36" s="9" t="s">
        <v>40</v>
      </c>
      <c r="D36" s="4">
        <v>42300</v>
      </c>
      <c r="E36" s="5">
        <f>4890.57-2435.29-10</f>
        <v>2445.2799999999997</v>
      </c>
    </row>
    <row r="37" spans="1:5" x14ac:dyDescent="0.25">
      <c r="A37" s="1">
        <v>150159</v>
      </c>
      <c r="B37" s="2">
        <v>42313</v>
      </c>
      <c r="C37" s="9" t="s">
        <v>41</v>
      </c>
      <c r="D37" s="4">
        <v>42314</v>
      </c>
      <c r="E37" s="5">
        <f>153.09+198.31</f>
        <v>351.4</v>
      </c>
    </row>
    <row r="38" spans="1:5" x14ac:dyDescent="0.25">
      <c r="A38" s="1">
        <v>150171</v>
      </c>
      <c r="B38" s="2">
        <v>42325</v>
      </c>
      <c r="C38" s="9" t="s">
        <v>42</v>
      </c>
      <c r="D38" s="4">
        <v>42325</v>
      </c>
      <c r="E38" s="5">
        <v>56.69</v>
      </c>
    </row>
    <row r="39" spans="1:5" x14ac:dyDescent="0.25">
      <c r="A39" s="1">
        <v>150172</v>
      </c>
      <c r="B39" s="2">
        <v>42325</v>
      </c>
      <c r="C39" s="9" t="s">
        <v>43</v>
      </c>
      <c r="D39" s="4">
        <v>42326</v>
      </c>
      <c r="E39" s="5">
        <v>33.57</v>
      </c>
    </row>
    <row r="40" spans="1:5" x14ac:dyDescent="0.25">
      <c r="A40" s="1">
        <v>150182</v>
      </c>
      <c r="B40" s="2">
        <v>42327</v>
      </c>
      <c r="C40" s="9" t="s">
        <v>44</v>
      </c>
      <c r="D40" s="4">
        <v>42327</v>
      </c>
      <c r="E40" s="5">
        <f>682.6+199.32</f>
        <v>881.92000000000007</v>
      </c>
    </row>
    <row r="41" spans="1:5" x14ac:dyDescent="0.25">
      <c r="A41" s="1">
        <v>150186</v>
      </c>
      <c r="B41" s="2">
        <v>42439</v>
      </c>
      <c r="C41" s="9" t="s">
        <v>45</v>
      </c>
      <c r="D41" s="4">
        <v>42439</v>
      </c>
      <c r="E41" s="5">
        <v>112.56</v>
      </c>
    </row>
    <row r="42" spans="1:5" x14ac:dyDescent="0.25">
      <c r="A42" s="1">
        <v>150187</v>
      </c>
      <c r="B42" s="2">
        <v>42377</v>
      </c>
      <c r="C42" s="9" t="s">
        <v>46</v>
      </c>
      <c r="D42" s="4">
        <v>42377</v>
      </c>
      <c r="E42" s="5">
        <v>56.34</v>
      </c>
    </row>
    <row r="43" spans="1:5" x14ac:dyDescent="0.25">
      <c r="A43" s="1">
        <v>150189</v>
      </c>
      <c r="B43" s="2">
        <v>42377</v>
      </c>
      <c r="C43" s="9" t="s">
        <v>47</v>
      </c>
      <c r="D43" s="4">
        <v>42377</v>
      </c>
      <c r="E43" s="5">
        <v>94.5</v>
      </c>
    </row>
    <row r="44" spans="1:5" x14ac:dyDescent="0.25">
      <c r="A44" s="1">
        <v>150198</v>
      </c>
      <c r="B44" s="2">
        <v>42418</v>
      </c>
      <c r="C44" s="9" t="s">
        <v>48</v>
      </c>
      <c r="D44" s="4">
        <v>42418</v>
      </c>
      <c r="E44" s="5">
        <f>4227.7-2113.85</f>
        <v>2113.85</v>
      </c>
    </row>
    <row r="45" spans="1:5" x14ac:dyDescent="0.25">
      <c r="A45" s="1">
        <v>150202</v>
      </c>
      <c r="B45" s="2">
        <v>42397</v>
      </c>
      <c r="C45" s="9" t="s">
        <v>49</v>
      </c>
      <c r="D45" s="4">
        <v>42398</v>
      </c>
      <c r="E45" s="5">
        <v>5004.01</v>
      </c>
    </row>
    <row r="46" spans="1:5" x14ac:dyDescent="0.25">
      <c r="A46" s="1" t="s">
        <v>50</v>
      </c>
      <c r="B46" s="2">
        <v>42509</v>
      </c>
      <c r="C46" s="9" t="s">
        <v>51</v>
      </c>
      <c r="D46" s="4">
        <v>42509</v>
      </c>
      <c r="E46" s="5">
        <f>2845.06-1882.55</f>
        <v>962.51</v>
      </c>
    </row>
    <row r="47" spans="1:5" x14ac:dyDescent="0.25">
      <c r="A47" s="1" t="s">
        <v>52</v>
      </c>
      <c r="B47" s="2">
        <v>42535</v>
      </c>
      <c r="C47" s="9" t="s">
        <v>53</v>
      </c>
      <c r="D47" s="4">
        <v>42537</v>
      </c>
      <c r="E47" s="5">
        <f>3333.28+200-200-1115.64</f>
        <v>2217.6400000000003</v>
      </c>
    </row>
    <row r="48" spans="1:5" x14ac:dyDescent="0.25">
      <c r="A48" s="1" t="s">
        <v>54</v>
      </c>
      <c r="B48" s="2">
        <v>42619</v>
      </c>
      <c r="C48" s="9" t="s">
        <v>55</v>
      </c>
      <c r="D48" s="4">
        <v>42620</v>
      </c>
      <c r="E48" s="5">
        <f>6150.53+330-1432.55-330</f>
        <v>4717.9799999999996</v>
      </c>
    </row>
    <row r="49" spans="1:5" x14ac:dyDescent="0.25">
      <c r="A49" s="1" t="s">
        <v>56</v>
      </c>
      <c r="B49" s="2">
        <v>42608</v>
      </c>
      <c r="C49" s="9" t="s">
        <v>57</v>
      </c>
      <c r="D49" s="4">
        <v>42608</v>
      </c>
      <c r="E49" s="5">
        <f>9516.14+510-1736.54</f>
        <v>8289.5999999999985</v>
      </c>
    </row>
    <row r="50" spans="1:5" x14ac:dyDescent="0.25">
      <c r="A50" s="1" t="s">
        <v>58</v>
      </c>
      <c r="B50" s="2">
        <v>42591</v>
      </c>
      <c r="C50" s="9" t="s">
        <v>59</v>
      </c>
      <c r="D50" s="4">
        <v>42591</v>
      </c>
      <c r="E50" s="5">
        <f>8984.3+480-2234.77</f>
        <v>7229.5299999999988</v>
      </c>
    </row>
    <row r="51" spans="1:5" x14ac:dyDescent="0.25">
      <c r="A51" s="1" t="s">
        <v>60</v>
      </c>
      <c r="B51" s="2">
        <v>42584</v>
      </c>
      <c r="C51" s="9" t="s">
        <v>61</v>
      </c>
      <c r="D51" s="4">
        <v>42586</v>
      </c>
      <c r="E51" s="5">
        <f>200+1455.79-351.04-1188.88</f>
        <v>115.86999999999989</v>
      </c>
    </row>
    <row r="52" spans="1:5" x14ac:dyDescent="0.25">
      <c r="A52" s="1" t="s">
        <v>62</v>
      </c>
      <c r="B52" s="2">
        <v>42591</v>
      </c>
      <c r="C52" s="9" t="s">
        <v>63</v>
      </c>
      <c r="D52" s="4">
        <v>42591</v>
      </c>
      <c r="E52" s="5">
        <f>200+1940.89-1046.88-339.95</f>
        <v>754.06000000000017</v>
      </c>
    </row>
    <row r="53" spans="1:5" x14ac:dyDescent="0.25">
      <c r="A53" s="1" t="s">
        <v>64</v>
      </c>
      <c r="B53" s="2">
        <v>42586</v>
      </c>
      <c r="C53" s="9" t="s">
        <v>65</v>
      </c>
      <c r="D53" s="4">
        <v>42591</v>
      </c>
      <c r="E53" s="5">
        <f>270+5034.31-535.13-2577.14-10-1086.02</f>
        <v>1096.0200000000004</v>
      </c>
    </row>
    <row r="54" spans="1:5" x14ac:dyDescent="0.25">
      <c r="A54" s="1" t="s">
        <v>66</v>
      </c>
      <c r="B54" s="2">
        <v>42593</v>
      </c>
      <c r="C54" s="9" t="s">
        <v>67</v>
      </c>
      <c r="D54" s="4">
        <v>42593</v>
      </c>
      <c r="E54" s="5">
        <f>1259.5-321.83-700.83</f>
        <v>236.84000000000003</v>
      </c>
    </row>
    <row r="55" spans="1:5" x14ac:dyDescent="0.25">
      <c r="A55" s="1" t="s">
        <v>68</v>
      </c>
      <c r="B55" s="2">
        <v>42608</v>
      </c>
      <c r="C55" s="9" t="s">
        <v>69</v>
      </c>
      <c r="D55" s="4">
        <v>42608</v>
      </c>
      <c r="E55" s="5">
        <f>205+3724.88-1187.95</f>
        <v>2741.9300000000003</v>
      </c>
    </row>
    <row r="56" spans="1:5" x14ac:dyDescent="0.25">
      <c r="A56" s="1" t="s">
        <v>70</v>
      </c>
      <c r="B56" s="2">
        <v>42626</v>
      </c>
      <c r="C56" s="9" t="s">
        <v>71</v>
      </c>
      <c r="D56" s="4">
        <v>42626</v>
      </c>
      <c r="E56" s="5">
        <f>200+3130.54-932.57</f>
        <v>2397.9699999999998</v>
      </c>
    </row>
    <row r="57" spans="1:5" x14ac:dyDescent="0.25">
      <c r="A57" s="1" t="s">
        <v>72</v>
      </c>
      <c r="B57" s="2">
        <v>42626</v>
      </c>
      <c r="C57" s="9" t="s">
        <v>73</v>
      </c>
      <c r="D57" s="4">
        <v>42626</v>
      </c>
      <c r="E57" s="5">
        <f>200+3430.49-1229.25</f>
        <v>2401.2399999999998</v>
      </c>
    </row>
    <row r="58" spans="1:5" x14ac:dyDescent="0.25">
      <c r="A58" s="1" t="s">
        <v>74</v>
      </c>
      <c r="B58" s="2">
        <v>42655</v>
      </c>
      <c r="C58" s="9" t="s">
        <v>75</v>
      </c>
      <c r="D58" s="4">
        <v>42655</v>
      </c>
      <c r="E58" s="5">
        <f>200+2333.22-1275.5</f>
        <v>1257.7199999999998</v>
      </c>
    </row>
    <row r="59" spans="1:5" x14ac:dyDescent="0.25">
      <c r="A59" s="1" t="s">
        <v>76</v>
      </c>
      <c r="B59" s="2">
        <v>42663</v>
      </c>
      <c r="C59" s="9" t="s">
        <v>77</v>
      </c>
      <c r="D59" s="4">
        <v>42663</v>
      </c>
      <c r="E59" s="5">
        <f>200+3407.75-1641.32-978.22-10</f>
        <v>978.21</v>
      </c>
    </row>
    <row r="60" spans="1:5" x14ac:dyDescent="0.25">
      <c r="A60" s="1" t="s">
        <v>78</v>
      </c>
      <c r="B60" s="2">
        <v>42661</v>
      </c>
      <c r="C60" s="9" t="s">
        <v>79</v>
      </c>
      <c r="D60" s="4">
        <v>42663</v>
      </c>
      <c r="E60" s="5">
        <f>200+1856.51-1364.03</f>
        <v>692.48000000000025</v>
      </c>
    </row>
    <row r="61" spans="1:5" x14ac:dyDescent="0.25">
      <c r="A61" s="1" t="s">
        <v>80</v>
      </c>
      <c r="B61" s="2">
        <v>42661</v>
      </c>
      <c r="C61" s="9" t="s">
        <v>81</v>
      </c>
      <c r="D61" s="4">
        <v>42662</v>
      </c>
      <c r="E61" s="5">
        <f>400+7422.75-1238.46</f>
        <v>6584.29</v>
      </c>
    </row>
    <row r="62" spans="1:5" x14ac:dyDescent="0.25">
      <c r="A62" s="1" t="s">
        <v>82</v>
      </c>
      <c r="B62" s="2">
        <v>42663</v>
      </c>
      <c r="C62" s="9" t="s">
        <v>83</v>
      </c>
      <c r="D62" s="4">
        <v>42663</v>
      </c>
      <c r="E62" s="5">
        <f>275+5132.46-1011.68</f>
        <v>4395.78</v>
      </c>
    </row>
    <row r="63" spans="1:5" x14ac:dyDescent="0.25">
      <c r="A63" s="1" t="s">
        <v>84</v>
      </c>
      <c r="B63" s="2">
        <v>42689</v>
      </c>
      <c r="C63" s="9" t="s">
        <v>85</v>
      </c>
      <c r="D63" s="4">
        <v>42689</v>
      </c>
      <c r="E63" s="5">
        <f>3228.45-1207.93</f>
        <v>2020.5199999999998</v>
      </c>
    </row>
    <row r="64" spans="1:5" x14ac:dyDescent="0.25">
      <c r="A64" s="1" t="s">
        <v>86</v>
      </c>
      <c r="B64" s="2">
        <v>42689</v>
      </c>
      <c r="C64" s="9" t="s">
        <v>87</v>
      </c>
      <c r="D64" s="4">
        <v>42689</v>
      </c>
      <c r="E64" s="5">
        <f>2748.48-1561.01</f>
        <v>1187.47</v>
      </c>
    </row>
    <row r="65" spans="1:5" x14ac:dyDescent="0.25">
      <c r="A65" s="1" t="s">
        <v>88</v>
      </c>
      <c r="B65" s="2">
        <v>42745</v>
      </c>
      <c r="C65" s="9" t="s">
        <v>89</v>
      </c>
      <c r="D65" s="4">
        <v>42745</v>
      </c>
      <c r="E65" s="5">
        <f>2670.71+200+35</f>
        <v>2905.71</v>
      </c>
    </row>
    <row r="66" spans="1:5" x14ac:dyDescent="0.25">
      <c r="A66" s="1" t="s">
        <v>90</v>
      </c>
      <c r="B66" s="2">
        <v>42745</v>
      </c>
      <c r="C66" s="9" t="s">
        <v>91</v>
      </c>
      <c r="D66" s="4">
        <v>42745</v>
      </c>
      <c r="E66" s="5">
        <f>265+4932.66-1604.81</f>
        <v>3592.85</v>
      </c>
    </row>
    <row r="67" spans="1:5" x14ac:dyDescent="0.25">
      <c r="A67" s="1" t="s">
        <v>92</v>
      </c>
      <c r="B67" s="2">
        <v>42732</v>
      </c>
      <c r="C67" s="9" t="s">
        <v>93</v>
      </c>
      <c r="D67" s="4">
        <v>42732</v>
      </c>
      <c r="E67" s="5">
        <v>1560.29</v>
      </c>
    </row>
    <row r="68" spans="1:5" x14ac:dyDescent="0.25">
      <c r="A68" s="1" t="s">
        <v>94</v>
      </c>
      <c r="B68" s="2">
        <v>42732</v>
      </c>
      <c r="C68" s="9" t="s">
        <v>95</v>
      </c>
      <c r="D68" s="4">
        <v>42732</v>
      </c>
      <c r="E68" s="5">
        <v>1824</v>
      </c>
    </row>
    <row r="69" spans="1:5" x14ac:dyDescent="0.25">
      <c r="A69" s="1" t="s">
        <v>96</v>
      </c>
      <c r="B69" s="2">
        <v>42732</v>
      </c>
      <c r="C69" s="9" t="s">
        <v>97</v>
      </c>
      <c r="D69" s="4">
        <v>42732</v>
      </c>
      <c r="E69" s="5">
        <v>2375.66</v>
      </c>
    </row>
    <row r="70" spans="1:5" x14ac:dyDescent="0.25">
      <c r="A70" s="1" t="s">
        <v>98</v>
      </c>
      <c r="B70" s="2">
        <v>42871</v>
      </c>
      <c r="C70" s="16" t="s">
        <v>99</v>
      </c>
      <c r="D70" s="4">
        <v>42871</v>
      </c>
      <c r="E70" s="5">
        <f>1758.86-1220.35</f>
        <v>538.51</v>
      </c>
    </row>
    <row r="71" spans="1:5" x14ac:dyDescent="0.25">
      <c r="A71" s="1" t="s">
        <v>100</v>
      </c>
      <c r="B71" s="2">
        <v>42878</v>
      </c>
      <c r="C71" s="16" t="s">
        <v>101</v>
      </c>
      <c r="D71" s="4">
        <v>42878</v>
      </c>
      <c r="E71" s="5">
        <f>1355.99-1246.51</f>
        <v>109.48000000000002</v>
      </c>
    </row>
    <row r="72" spans="1:5" x14ac:dyDescent="0.25">
      <c r="A72" s="1" t="s">
        <v>102</v>
      </c>
      <c r="B72" s="2">
        <v>42908</v>
      </c>
      <c r="C72" s="16" t="s">
        <v>103</v>
      </c>
      <c r="D72" s="4">
        <v>42908</v>
      </c>
      <c r="E72" s="5">
        <f>965.14-910.54</f>
        <v>54.600000000000023</v>
      </c>
    </row>
    <row r="73" spans="1:5" x14ac:dyDescent="0.25">
      <c r="A73" s="1" t="s">
        <v>104</v>
      </c>
      <c r="B73" s="2">
        <v>42922</v>
      </c>
      <c r="C73" s="16" t="s">
        <v>105</v>
      </c>
      <c r="D73" s="4">
        <v>42922</v>
      </c>
      <c r="E73" s="5">
        <f>280+3916.19</f>
        <v>4196.1900000000005</v>
      </c>
    </row>
    <row r="74" spans="1:5" x14ac:dyDescent="0.25">
      <c r="A74" s="1" t="s">
        <v>106</v>
      </c>
      <c r="B74" s="2">
        <v>42968</v>
      </c>
      <c r="C74" s="16" t="s">
        <v>107</v>
      </c>
      <c r="D74" s="4">
        <v>42969</v>
      </c>
      <c r="E74" s="5">
        <f>1255+23441-1775.99</f>
        <v>22920.01</v>
      </c>
    </row>
    <row r="75" spans="1:5" x14ac:dyDescent="0.25">
      <c r="A75" s="1" t="s">
        <v>108</v>
      </c>
      <c r="B75" s="2">
        <v>42968</v>
      </c>
      <c r="C75" s="16" t="s">
        <v>109</v>
      </c>
      <c r="D75" s="4">
        <v>42969</v>
      </c>
      <c r="E75" s="5">
        <f>245+4540.12-1332.63-1716.25-10</f>
        <v>1726.2399999999998</v>
      </c>
    </row>
    <row r="76" spans="1:5" x14ac:dyDescent="0.25">
      <c r="A76" s="1" t="s">
        <v>110</v>
      </c>
      <c r="B76" s="2">
        <v>43018</v>
      </c>
      <c r="C76" s="16" t="s">
        <v>111</v>
      </c>
      <c r="D76" s="4">
        <v>43018</v>
      </c>
      <c r="E76" s="5">
        <f>215+4008.54-2812.17</f>
        <v>1411.37</v>
      </c>
    </row>
    <row r="77" spans="1:5" x14ac:dyDescent="0.25">
      <c r="A77" s="1" t="s">
        <v>112</v>
      </c>
      <c r="B77" s="2">
        <v>43018</v>
      </c>
      <c r="C77" s="16" t="s">
        <v>113</v>
      </c>
      <c r="D77" s="4">
        <v>43018</v>
      </c>
      <c r="E77" s="5">
        <f>335+6245.98-928.64</f>
        <v>5652.3399999999992</v>
      </c>
    </row>
    <row r="78" spans="1:5" x14ac:dyDescent="0.25">
      <c r="A78" s="1" t="s">
        <v>114</v>
      </c>
      <c r="B78" s="2">
        <v>43025</v>
      </c>
      <c r="C78" s="16" t="s">
        <v>115</v>
      </c>
      <c r="D78" s="4">
        <v>43025</v>
      </c>
      <c r="E78" s="5">
        <f>510+9538.7-4204.88</f>
        <v>5843.8200000000006</v>
      </c>
    </row>
    <row r="79" spans="1:5" x14ac:dyDescent="0.25">
      <c r="A79" s="1" t="s">
        <v>116</v>
      </c>
      <c r="B79" s="2">
        <v>43025</v>
      </c>
      <c r="C79" s="16" t="s">
        <v>117</v>
      </c>
      <c r="D79" s="4">
        <v>43025</v>
      </c>
      <c r="E79" s="5">
        <f>480+8961.35-1186.82</f>
        <v>8254.5300000000007</v>
      </c>
    </row>
    <row r="80" spans="1:5" x14ac:dyDescent="0.25">
      <c r="A80" s="1" t="s">
        <v>118</v>
      </c>
      <c r="B80" s="2">
        <v>43025</v>
      </c>
      <c r="C80" s="16" t="s">
        <v>119</v>
      </c>
      <c r="D80" s="4">
        <v>43025</v>
      </c>
      <c r="E80" s="5">
        <f>205+3821.88-2352.77</f>
        <v>1674.1100000000001</v>
      </c>
    </row>
    <row r="81" spans="1:5" x14ac:dyDescent="0.25">
      <c r="A81" s="1" t="s">
        <v>120</v>
      </c>
      <c r="B81" s="2">
        <v>43018</v>
      </c>
      <c r="C81" s="16" t="s">
        <v>121</v>
      </c>
      <c r="D81" s="4">
        <v>43018</v>
      </c>
      <c r="E81" s="5">
        <f>200+2247.67-1656.93</f>
        <v>790.74</v>
      </c>
    </row>
    <row r="82" spans="1:5" x14ac:dyDescent="0.25">
      <c r="A82" s="1" t="s">
        <v>122</v>
      </c>
      <c r="B82" s="2">
        <v>43053</v>
      </c>
      <c r="C82" s="16" t="s">
        <v>123</v>
      </c>
      <c r="D82" s="4">
        <v>43053</v>
      </c>
      <c r="E82" s="5">
        <f>3429.9-1472.16</f>
        <v>1957.74</v>
      </c>
    </row>
    <row r="83" spans="1:5" x14ac:dyDescent="0.25">
      <c r="A83" s="1" t="s">
        <v>124</v>
      </c>
      <c r="B83" s="2">
        <v>43053</v>
      </c>
      <c r="C83" s="16" t="s">
        <v>125</v>
      </c>
      <c r="D83" s="4">
        <v>43054</v>
      </c>
      <c r="E83" s="5">
        <f>200+3700.64-1467.19</f>
        <v>2433.4499999999998</v>
      </c>
    </row>
    <row r="84" spans="1:5" x14ac:dyDescent="0.25">
      <c r="A84" s="1" t="s">
        <v>126</v>
      </c>
      <c r="B84" s="2">
        <v>43060</v>
      </c>
      <c r="C84" s="16" t="s">
        <v>127</v>
      </c>
      <c r="D84" s="4">
        <v>43061</v>
      </c>
      <c r="E84" s="5">
        <f>5294.56-1279.83+285</f>
        <v>4299.7300000000005</v>
      </c>
    </row>
    <row r="85" spans="1:5" x14ac:dyDescent="0.25">
      <c r="A85" s="1" t="s">
        <v>128</v>
      </c>
      <c r="B85" s="2">
        <v>43060</v>
      </c>
      <c r="C85" s="16" t="s">
        <v>129</v>
      </c>
      <c r="D85" s="4">
        <v>43060</v>
      </c>
      <c r="E85" s="5">
        <f>3803.55+205-1130.65</f>
        <v>2877.9</v>
      </c>
    </row>
    <row r="86" spans="1:5" x14ac:dyDescent="0.25">
      <c r="A86" s="1" t="s">
        <v>130</v>
      </c>
      <c r="B86" s="2">
        <v>43067</v>
      </c>
      <c r="C86" s="16" t="s">
        <v>131</v>
      </c>
      <c r="D86" s="4">
        <v>43067</v>
      </c>
      <c r="E86" s="5">
        <f>205+3808.08-1432.66</f>
        <v>2580.42</v>
      </c>
    </row>
    <row r="87" spans="1:5" x14ac:dyDescent="0.25">
      <c r="A87" s="1" t="s">
        <v>132</v>
      </c>
      <c r="B87" s="2">
        <v>43067</v>
      </c>
      <c r="C87" s="16" t="s">
        <v>133</v>
      </c>
      <c r="D87" s="4">
        <v>43067</v>
      </c>
      <c r="E87" s="5">
        <f>200+3223.03-1014.2</f>
        <v>2408.83</v>
      </c>
    </row>
    <row r="88" spans="1:5" x14ac:dyDescent="0.25">
      <c r="A88" s="1" t="s">
        <v>134</v>
      </c>
      <c r="B88" s="2">
        <v>43067</v>
      </c>
      <c r="C88" s="16" t="s">
        <v>135</v>
      </c>
      <c r="D88" s="4">
        <v>43067</v>
      </c>
      <c r="E88" s="5">
        <f>200+2527.26-1078.23</f>
        <v>1649.0300000000002</v>
      </c>
    </row>
    <row r="89" spans="1:5" x14ac:dyDescent="0.25">
      <c r="A89" s="1" t="s">
        <v>136</v>
      </c>
      <c r="B89" s="2">
        <v>43067</v>
      </c>
      <c r="C89" s="16" t="s">
        <v>137</v>
      </c>
      <c r="D89" s="4">
        <v>43067</v>
      </c>
      <c r="E89" s="5">
        <f>200+858.16-1019.04</f>
        <v>39.119999999999891</v>
      </c>
    </row>
    <row r="90" spans="1:5" x14ac:dyDescent="0.25">
      <c r="A90" s="1" t="s">
        <v>138</v>
      </c>
      <c r="B90" s="2">
        <v>43074</v>
      </c>
      <c r="C90" s="16" t="s">
        <v>139</v>
      </c>
      <c r="D90" s="4">
        <v>43074</v>
      </c>
      <c r="E90" s="5">
        <f>200+3219.1-1234.11</f>
        <v>2184.9899999999998</v>
      </c>
    </row>
    <row r="91" spans="1:5" x14ac:dyDescent="0.25">
      <c r="A91" s="1" t="s">
        <v>140</v>
      </c>
      <c r="B91" s="2">
        <v>43074</v>
      </c>
      <c r="C91" s="16" t="s">
        <v>141</v>
      </c>
      <c r="D91" s="4">
        <v>43074</v>
      </c>
      <c r="E91" s="5">
        <f>200+3234.51-1297.46</f>
        <v>2137.0500000000002</v>
      </c>
    </row>
    <row r="92" spans="1:5" x14ac:dyDescent="0.25">
      <c r="A92" s="1" t="s">
        <v>142</v>
      </c>
      <c r="B92" s="2">
        <v>43060</v>
      </c>
      <c r="C92" s="16" t="s">
        <v>143</v>
      </c>
      <c r="D92" s="4">
        <v>43061</v>
      </c>
      <c r="E92" s="5">
        <f>3694.95-1088.18+200</f>
        <v>2806.7699999999995</v>
      </c>
    </row>
    <row r="93" spans="1:5" x14ac:dyDescent="0.25">
      <c r="A93" s="1" t="s">
        <v>144</v>
      </c>
      <c r="B93" s="2">
        <v>43081</v>
      </c>
      <c r="C93" s="16" t="s">
        <v>145</v>
      </c>
      <c r="D93" s="4">
        <v>43081</v>
      </c>
      <c r="E93" s="5">
        <f>200+1055.98-1146.44</f>
        <v>109.53999999999996</v>
      </c>
    </row>
    <row r="94" spans="1:5" x14ac:dyDescent="0.25">
      <c r="A94" s="1" t="s">
        <v>146</v>
      </c>
      <c r="B94" s="2">
        <v>43088</v>
      </c>
      <c r="C94" s="16" t="s">
        <v>147</v>
      </c>
      <c r="D94" s="4">
        <v>43088</v>
      </c>
      <c r="E94" s="5">
        <f>230+4260.29-1377.22</f>
        <v>3113.0699999999997</v>
      </c>
    </row>
    <row r="95" spans="1:5" x14ac:dyDescent="0.25">
      <c r="A95" s="1" t="s">
        <v>148</v>
      </c>
      <c r="B95" s="2">
        <v>43144</v>
      </c>
      <c r="C95" s="16" t="s">
        <v>149</v>
      </c>
      <c r="D95" s="4">
        <v>43144</v>
      </c>
      <c r="E95" s="5">
        <f>2616.88-1249.73</f>
        <v>1367.15</v>
      </c>
    </row>
    <row r="96" spans="1:5" x14ac:dyDescent="0.25">
      <c r="A96" s="1" t="s">
        <v>150</v>
      </c>
      <c r="B96" s="2">
        <v>43088</v>
      </c>
      <c r="C96" s="16" t="s">
        <v>151</v>
      </c>
      <c r="D96" s="4">
        <v>43088</v>
      </c>
      <c r="E96" s="5">
        <f>285+5315.8-1250.26</f>
        <v>4350.54</v>
      </c>
    </row>
    <row r="97" spans="1:5" x14ac:dyDescent="0.25">
      <c r="A97" s="1" t="s">
        <v>152</v>
      </c>
      <c r="B97" s="2">
        <v>43102</v>
      </c>
      <c r="C97" s="16" t="s">
        <v>153</v>
      </c>
      <c r="D97" s="4">
        <v>43102</v>
      </c>
      <c r="E97" s="5">
        <f>200+1271.37-1377.4</f>
        <v>93.9699999999998</v>
      </c>
    </row>
    <row r="98" spans="1:5" x14ac:dyDescent="0.25">
      <c r="A98" s="1" t="s">
        <v>154</v>
      </c>
      <c r="B98" s="2">
        <v>43102</v>
      </c>
      <c r="C98" s="16" t="s">
        <v>155</v>
      </c>
      <c r="D98" s="4">
        <v>43102</v>
      </c>
      <c r="E98" s="5">
        <f>1337.1+200-1292.49</f>
        <v>244.6099999999999</v>
      </c>
    </row>
    <row r="99" spans="1:5" x14ac:dyDescent="0.25">
      <c r="A99" s="1" t="s">
        <v>156</v>
      </c>
      <c r="B99" s="2">
        <v>43083</v>
      </c>
      <c r="C99" s="16" t="s">
        <v>157</v>
      </c>
      <c r="D99" s="4">
        <v>43083</v>
      </c>
      <c r="E99" s="5">
        <f>200+1913.02-1456.86</f>
        <v>656.16000000000008</v>
      </c>
    </row>
    <row r="100" spans="1:5" x14ac:dyDescent="0.25">
      <c r="A100" s="1" t="s">
        <v>158</v>
      </c>
      <c r="B100" s="2">
        <v>43137</v>
      </c>
      <c r="C100" s="16" t="s">
        <v>159</v>
      </c>
      <c r="D100" s="4">
        <v>43137</v>
      </c>
      <c r="E100" s="5">
        <v>417.64</v>
      </c>
    </row>
    <row r="101" spans="1:5" x14ac:dyDescent="0.25">
      <c r="A101" s="1" t="s">
        <v>160</v>
      </c>
      <c r="B101" s="2">
        <v>43322</v>
      </c>
      <c r="C101" s="9" t="s">
        <v>161</v>
      </c>
      <c r="D101" s="4">
        <v>43322</v>
      </c>
      <c r="E101" s="5">
        <f>245+4581.05-2133.48</f>
        <v>2692.57</v>
      </c>
    </row>
    <row r="102" spans="1:5" x14ac:dyDescent="0.25">
      <c r="A102" s="1" t="s">
        <v>162</v>
      </c>
      <c r="B102" s="2">
        <v>43322</v>
      </c>
      <c r="C102" s="9" t="s">
        <v>163</v>
      </c>
      <c r="D102" s="4">
        <v>43322</v>
      </c>
      <c r="E102" s="5">
        <f>2656.84-1503.67</f>
        <v>1153.17</v>
      </c>
    </row>
    <row r="103" spans="1:5" x14ac:dyDescent="0.25">
      <c r="A103" s="1" t="s">
        <v>164</v>
      </c>
      <c r="B103" s="2">
        <v>43322</v>
      </c>
      <c r="C103" s="9" t="s">
        <v>165</v>
      </c>
      <c r="D103" s="4">
        <v>43325</v>
      </c>
      <c r="E103" s="5">
        <f>1819.55-1695.92+200</f>
        <v>323.62999999999988</v>
      </c>
    </row>
    <row r="104" spans="1:5" x14ac:dyDescent="0.25">
      <c r="A104" s="1" t="s">
        <v>166</v>
      </c>
      <c r="B104" s="2">
        <v>43342</v>
      </c>
      <c r="C104" s="9" t="s">
        <v>167</v>
      </c>
      <c r="D104" s="4">
        <v>43342</v>
      </c>
      <c r="E104" s="5">
        <f>1868.26+200-1873.59</f>
        <v>194.6700000000003</v>
      </c>
    </row>
    <row r="105" spans="1:5" x14ac:dyDescent="0.25">
      <c r="A105" s="1" t="s">
        <v>168</v>
      </c>
      <c r="B105" s="2">
        <v>43354</v>
      </c>
      <c r="C105" s="9" t="s">
        <v>169</v>
      </c>
      <c r="D105" s="4">
        <v>43354</v>
      </c>
      <c r="E105" s="5">
        <f>6643.43+355-2009.95</f>
        <v>4988.4800000000005</v>
      </c>
    </row>
    <row r="106" spans="1:5" x14ac:dyDescent="0.25">
      <c r="A106" s="1" t="s">
        <v>170</v>
      </c>
      <c r="B106" s="2">
        <v>43291</v>
      </c>
      <c r="C106" s="9" t="s">
        <v>171</v>
      </c>
      <c r="D106" s="4">
        <v>43291</v>
      </c>
      <c r="E106" s="5">
        <f>200+2939.71-1343.69</f>
        <v>1796.02</v>
      </c>
    </row>
    <row r="107" spans="1:5" x14ac:dyDescent="0.25">
      <c r="A107" s="1" t="s">
        <v>172</v>
      </c>
      <c r="B107" s="2">
        <v>43308</v>
      </c>
      <c r="C107" s="16" t="s">
        <v>173</v>
      </c>
      <c r="D107" s="4">
        <v>43308</v>
      </c>
      <c r="E107" s="5">
        <f>47243.64-1185.2</f>
        <v>46058.44</v>
      </c>
    </row>
    <row r="108" spans="1:5" x14ac:dyDescent="0.25">
      <c r="A108" s="1" t="s">
        <v>174</v>
      </c>
      <c r="B108" s="2">
        <v>43354</v>
      </c>
      <c r="C108" s="16" t="s">
        <v>175</v>
      </c>
      <c r="D108" s="4">
        <v>43354</v>
      </c>
      <c r="E108" s="5">
        <f>455+8461.34-1429.43</f>
        <v>7486.91</v>
      </c>
    </row>
    <row r="109" spans="1:5" x14ac:dyDescent="0.25">
      <c r="A109" s="1" t="s">
        <v>176</v>
      </c>
      <c r="B109" s="2">
        <v>43333</v>
      </c>
      <c r="C109" s="9" t="s">
        <v>177</v>
      </c>
      <c r="D109" s="4">
        <v>43333</v>
      </c>
      <c r="E109" s="5">
        <f>5479.16-1153.04</f>
        <v>4326.12</v>
      </c>
    </row>
    <row r="110" spans="1:5" x14ac:dyDescent="0.25">
      <c r="A110" s="1" t="s">
        <v>178</v>
      </c>
      <c r="B110" s="2">
        <v>43340</v>
      </c>
      <c r="C110" s="9" t="s">
        <v>179</v>
      </c>
      <c r="D110" s="4">
        <v>43340</v>
      </c>
      <c r="E110" s="5">
        <f>250+4648.94-907.78</f>
        <v>3991.16</v>
      </c>
    </row>
    <row r="111" spans="1:5" x14ac:dyDescent="0.25">
      <c r="A111" s="1" t="s">
        <v>180</v>
      </c>
      <c r="B111" s="2">
        <v>43348</v>
      </c>
      <c r="C111" s="9" t="s">
        <v>181</v>
      </c>
      <c r="D111" s="4">
        <v>43348</v>
      </c>
      <c r="E111" s="5">
        <f>205+3819.4-1705.37</f>
        <v>2319.0300000000002</v>
      </c>
    </row>
    <row r="112" spans="1:5" x14ac:dyDescent="0.25">
      <c r="A112" s="1" t="s">
        <v>182</v>
      </c>
      <c r="B112" s="2">
        <v>43354</v>
      </c>
      <c r="C112" s="9" t="s">
        <v>183</v>
      </c>
      <c r="D112" s="4">
        <v>43354</v>
      </c>
      <c r="E112" s="5">
        <f>200+1932.22-808.62</f>
        <v>1323.6000000000004</v>
      </c>
    </row>
    <row r="113" spans="1:5" x14ac:dyDescent="0.25">
      <c r="A113" s="1" t="s">
        <v>184</v>
      </c>
      <c r="B113" s="2">
        <v>43405</v>
      </c>
      <c r="C113" s="17" t="s">
        <v>185</v>
      </c>
      <c r="D113" s="4">
        <v>43405</v>
      </c>
      <c r="E113" s="5">
        <f>1680+31396.94-2820.59</f>
        <v>30256.350000000002</v>
      </c>
    </row>
    <row r="114" spans="1:5" x14ac:dyDescent="0.25">
      <c r="A114" s="1" t="s">
        <v>186</v>
      </c>
      <c r="B114" s="2">
        <v>43446</v>
      </c>
      <c r="C114" s="9" t="s">
        <v>187</v>
      </c>
      <c r="D114" s="4">
        <v>43447</v>
      </c>
      <c r="E114" s="5">
        <f>2631.91-1488.19+200</f>
        <v>1343.7199999999998</v>
      </c>
    </row>
    <row r="115" spans="1:5" x14ac:dyDescent="0.25">
      <c r="A115" s="1" t="s">
        <v>188</v>
      </c>
      <c r="B115" s="2">
        <v>43494</v>
      </c>
      <c r="C115" s="9" t="s">
        <v>189</v>
      </c>
      <c r="D115" s="4">
        <v>43494</v>
      </c>
      <c r="E115" s="5">
        <f>200+1741.32-1215.12</f>
        <v>726.2</v>
      </c>
    </row>
    <row r="116" spans="1:5" x14ac:dyDescent="0.25">
      <c r="A116" s="1" t="s">
        <v>190</v>
      </c>
      <c r="B116" s="2">
        <v>43494</v>
      </c>
      <c r="C116" s="9" t="s">
        <v>191</v>
      </c>
      <c r="D116" s="4">
        <v>43494</v>
      </c>
      <c r="E116" s="5">
        <v>740.58</v>
      </c>
    </row>
    <row r="117" spans="1:5" x14ac:dyDescent="0.25">
      <c r="A117" s="1" t="s">
        <v>192</v>
      </c>
      <c r="B117" s="2">
        <v>43494</v>
      </c>
      <c r="C117" s="9" t="s">
        <v>193</v>
      </c>
      <c r="D117" s="4">
        <v>43494</v>
      </c>
      <c r="E117" s="5">
        <f>200+3040.95-1526.73</f>
        <v>1714.2199999999998</v>
      </c>
    </row>
    <row r="118" spans="1:5" x14ac:dyDescent="0.25">
      <c r="A118" s="1" t="s">
        <v>194</v>
      </c>
      <c r="B118" s="2">
        <v>43501</v>
      </c>
      <c r="C118" s="9" t="s">
        <v>195</v>
      </c>
      <c r="D118" s="4">
        <v>43501</v>
      </c>
      <c r="E118" s="5">
        <f>1158.29-1123.17</f>
        <v>35.119999999999891</v>
      </c>
    </row>
    <row r="119" spans="1:5" x14ac:dyDescent="0.25">
      <c r="A119" s="1" t="s">
        <v>196</v>
      </c>
      <c r="B119" s="2">
        <v>43558</v>
      </c>
      <c r="C119" s="9" t="s">
        <v>197</v>
      </c>
      <c r="D119" s="4">
        <v>43558</v>
      </c>
      <c r="E119" s="5">
        <f>200+1848.43-1307.3</f>
        <v>741.13000000000034</v>
      </c>
    </row>
    <row r="120" spans="1:5" x14ac:dyDescent="0.25">
      <c r="A120" s="1" t="s">
        <v>198</v>
      </c>
      <c r="B120" s="2">
        <v>43550</v>
      </c>
      <c r="C120" s="9" t="s">
        <v>199</v>
      </c>
      <c r="D120" s="4">
        <v>43550</v>
      </c>
      <c r="E120" s="5">
        <f>200+3596.42-1135.09</f>
        <v>2661.33</v>
      </c>
    </row>
    <row r="121" spans="1:5" x14ac:dyDescent="0.25">
      <c r="A121" s="1" t="s">
        <v>200</v>
      </c>
      <c r="B121" s="2">
        <v>43549</v>
      </c>
      <c r="C121" s="9" t="s">
        <v>201</v>
      </c>
      <c r="D121" s="4">
        <v>43549</v>
      </c>
      <c r="E121" s="5">
        <f>200+2932.5-1345.48</f>
        <v>1787.02</v>
      </c>
    </row>
    <row r="122" spans="1:5" x14ac:dyDescent="0.25">
      <c r="A122" s="1" t="s">
        <v>202</v>
      </c>
      <c r="B122" s="2">
        <v>43549</v>
      </c>
      <c r="C122" s="9" t="s">
        <v>203</v>
      </c>
      <c r="D122" s="4">
        <v>43549</v>
      </c>
      <c r="E122" s="5">
        <f>205+3797.65-1031.82</f>
        <v>2970.83</v>
      </c>
    </row>
    <row r="123" spans="1:5" x14ac:dyDescent="0.25">
      <c r="A123" s="1" t="s">
        <v>204</v>
      </c>
      <c r="B123" s="2">
        <v>43549</v>
      </c>
      <c r="C123" s="9" t="s">
        <v>205</v>
      </c>
      <c r="D123" s="4">
        <v>43549</v>
      </c>
      <c r="E123" s="5">
        <f>215+3775.99+210-1041.54-42.65-70-10-1513.4</f>
        <v>1523.3999999999996</v>
      </c>
    </row>
    <row r="124" spans="1:5" x14ac:dyDescent="0.25">
      <c r="A124" s="1" t="s">
        <v>206</v>
      </c>
      <c r="B124" s="2">
        <v>43537</v>
      </c>
      <c r="C124" s="16" t="s">
        <v>207</v>
      </c>
      <c r="D124" s="4">
        <v>43537</v>
      </c>
      <c r="E124" s="5">
        <f>200+1836.99-1026.86-10-495.06</f>
        <v>505.07000000000011</v>
      </c>
    </row>
    <row r="125" spans="1:5" x14ac:dyDescent="0.25">
      <c r="A125" s="1" t="s">
        <v>208</v>
      </c>
      <c r="B125" s="2">
        <v>43537</v>
      </c>
      <c r="C125" s="9" t="s">
        <v>209</v>
      </c>
      <c r="D125" s="4">
        <v>43538</v>
      </c>
      <c r="E125" s="5">
        <f>2824.16+200-1171.52</f>
        <v>1852.6399999999999</v>
      </c>
    </row>
    <row r="126" spans="1:5" x14ac:dyDescent="0.25">
      <c r="A126" s="1" t="s">
        <v>210</v>
      </c>
      <c r="B126" s="2">
        <v>43558</v>
      </c>
      <c r="C126" s="16" t="s">
        <v>211</v>
      </c>
      <c r="D126" s="4">
        <v>43558</v>
      </c>
      <c r="E126" s="5">
        <f>200+1064.96-1204.78</f>
        <v>60.180000000000064</v>
      </c>
    </row>
    <row r="127" spans="1:5" x14ac:dyDescent="0.25">
      <c r="A127" s="1" t="s">
        <v>212</v>
      </c>
      <c r="B127" s="2">
        <v>43626</v>
      </c>
      <c r="C127" s="16" t="s">
        <v>213</v>
      </c>
      <c r="D127" s="4">
        <v>43626</v>
      </c>
      <c r="E127" s="5">
        <f>2334.21+200-1341.33</f>
        <v>1192.8800000000001</v>
      </c>
    </row>
    <row r="128" spans="1:5" x14ac:dyDescent="0.25">
      <c r="A128" s="1" t="s">
        <v>214</v>
      </c>
      <c r="B128" s="2">
        <v>43641</v>
      </c>
      <c r="C128" s="16" t="s">
        <v>215</v>
      </c>
      <c r="D128" s="4">
        <v>43641</v>
      </c>
      <c r="E128" s="5">
        <f>4258.47+230-1255.8</f>
        <v>3232.67</v>
      </c>
    </row>
    <row r="129" spans="1:5" x14ac:dyDescent="0.25">
      <c r="A129" s="1" t="s">
        <v>216</v>
      </c>
      <c r="B129" s="2">
        <v>43641</v>
      </c>
      <c r="C129" s="16" t="s">
        <v>217</v>
      </c>
      <c r="D129" s="4">
        <v>43641</v>
      </c>
      <c r="E129" s="5">
        <f>2189.67+200-1163.85-398.6-10</f>
        <v>817.22000000000014</v>
      </c>
    </row>
    <row r="130" spans="1:5" x14ac:dyDescent="0.25">
      <c r="A130" s="1" t="s">
        <v>218</v>
      </c>
      <c r="B130" s="2">
        <v>43644</v>
      </c>
      <c r="C130" s="16" t="s">
        <v>219</v>
      </c>
      <c r="D130" s="4">
        <v>43644</v>
      </c>
      <c r="E130" s="5">
        <f>2931.87+200-1303.58</f>
        <v>1828.29</v>
      </c>
    </row>
    <row r="131" spans="1:5" x14ac:dyDescent="0.25">
      <c r="A131" s="1" t="s">
        <v>220</v>
      </c>
      <c r="B131" s="2">
        <v>43644</v>
      </c>
      <c r="C131" s="16" t="s">
        <v>221</v>
      </c>
      <c r="D131" s="4">
        <v>43644</v>
      </c>
      <c r="E131" s="5">
        <f>3708.13+200-1484.66-10-1201.74</f>
        <v>1211.7300000000002</v>
      </c>
    </row>
    <row r="132" spans="1:5" x14ac:dyDescent="0.25">
      <c r="A132" s="1" t="s">
        <v>222</v>
      </c>
      <c r="B132" s="2">
        <v>43643</v>
      </c>
      <c r="C132" s="16" t="s">
        <v>223</v>
      </c>
      <c r="D132" s="4">
        <v>43643</v>
      </c>
      <c r="E132" s="5">
        <f>3412.2+200-1456.12</f>
        <v>2156.08</v>
      </c>
    </row>
    <row r="133" spans="1:5" x14ac:dyDescent="0.25">
      <c r="A133" s="1" t="s">
        <v>224</v>
      </c>
      <c r="B133" s="2">
        <v>43642</v>
      </c>
      <c r="C133" s="16" t="s">
        <v>225</v>
      </c>
      <c r="D133" s="4">
        <v>43642</v>
      </c>
      <c r="E133" s="5">
        <f>200+1173.13-1336.06</f>
        <v>37.070000000000164</v>
      </c>
    </row>
    <row r="134" spans="1:5" x14ac:dyDescent="0.25">
      <c r="A134" s="1" t="s">
        <v>226</v>
      </c>
      <c r="B134" s="2">
        <v>43649</v>
      </c>
      <c r="C134" s="16" t="s">
        <v>227</v>
      </c>
      <c r="D134" s="4">
        <v>43649</v>
      </c>
      <c r="E134" s="5">
        <f>200+2036-1642.85</f>
        <v>593.15000000000009</v>
      </c>
    </row>
    <row r="135" spans="1:5" x14ac:dyDescent="0.25">
      <c r="A135" s="1" t="s">
        <v>228</v>
      </c>
      <c r="B135" s="2">
        <v>43717</v>
      </c>
      <c r="C135" s="16" t="s">
        <v>229</v>
      </c>
      <c r="D135" s="4">
        <v>43717</v>
      </c>
      <c r="E135" s="5">
        <f>200+1644.7-1340.95</f>
        <v>503.75</v>
      </c>
    </row>
    <row r="136" spans="1:5" x14ac:dyDescent="0.25">
      <c r="A136" s="1" t="s">
        <v>230</v>
      </c>
      <c r="B136" s="2">
        <v>43706</v>
      </c>
      <c r="C136" s="16" t="s">
        <v>231</v>
      </c>
      <c r="D136" s="4">
        <v>43706</v>
      </c>
      <c r="E136" s="5">
        <f>200+1243.94-1427.14</f>
        <v>16.799999999999955</v>
      </c>
    </row>
    <row r="137" spans="1:5" x14ac:dyDescent="0.25">
      <c r="A137" s="1" t="s">
        <v>232</v>
      </c>
      <c r="B137" s="2">
        <v>43739</v>
      </c>
      <c r="C137" s="16" t="s">
        <v>233</v>
      </c>
      <c r="D137" s="4">
        <v>43739</v>
      </c>
      <c r="E137" s="5">
        <f>1753.59+200-1525.66</f>
        <v>427.92999999999984</v>
      </c>
    </row>
    <row r="138" spans="1:5" x14ac:dyDescent="0.25">
      <c r="A138" s="1" t="s">
        <v>234</v>
      </c>
      <c r="B138" s="2">
        <v>43717</v>
      </c>
      <c r="C138" s="16" t="s">
        <v>235</v>
      </c>
      <c r="D138" s="4">
        <v>43717</v>
      </c>
      <c r="E138" s="5">
        <f>200+1646.78-1439.77</f>
        <v>407.01</v>
      </c>
    </row>
    <row r="139" spans="1:5" x14ac:dyDescent="0.25">
      <c r="A139" s="1" t="s">
        <v>236</v>
      </c>
      <c r="B139" s="2">
        <v>43731</v>
      </c>
      <c r="C139" s="16" t="s">
        <v>237</v>
      </c>
      <c r="D139" s="4">
        <v>43731</v>
      </c>
      <c r="E139" s="5">
        <f>200+2052.47-1294.5</f>
        <v>957.9699999999998</v>
      </c>
    </row>
    <row r="140" spans="1:5" x14ac:dyDescent="0.25">
      <c r="A140" s="1" t="s">
        <v>238</v>
      </c>
      <c r="B140" s="2">
        <v>43720</v>
      </c>
      <c r="C140" s="16" t="s">
        <v>239</v>
      </c>
      <c r="D140" s="4">
        <v>43720</v>
      </c>
      <c r="E140" s="5">
        <f>200+1265.19-1412.3</f>
        <v>52.8900000000001</v>
      </c>
    </row>
    <row r="141" spans="1:5" x14ac:dyDescent="0.25">
      <c r="A141" s="1" t="s">
        <v>240</v>
      </c>
      <c r="B141" s="2">
        <v>43734</v>
      </c>
      <c r="C141" s="16" t="s">
        <v>241</v>
      </c>
      <c r="D141" s="4">
        <v>43734</v>
      </c>
      <c r="E141" s="5">
        <f>200+2340.9-1305.23</f>
        <v>1235.67</v>
      </c>
    </row>
    <row r="142" spans="1:5" x14ac:dyDescent="0.25">
      <c r="A142" s="1" t="s">
        <v>242</v>
      </c>
      <c r="B142" s="2">
        <v>43734</v>
      </c>
      <c r="C142" s="16" t="s">
        <v>243</v>
      </c>
      <c r="D142" s="4">
        <v>43734</v>
      </c>
      <c r="E142" s="5">
        <f>200+2052.55-1300.17</f>
        <v>952.38000000000011</v>
      </c>
    </row>
    <row r="143" spans="1:5" x14ac:dyDescent="0.25">
      <c r="A143" s="1" t="s">
        <v>244</v>
      </c>
      <c r="B143" s="2">
        <v>43720</v>
      </c>
      <c r="C143" s="16" t="s">
        <v>245</v>
      </c>
      <c r="D143" s="4">
        <v>43720</v>
      </c>
      <c r="E143" s="5">
        <f>200+1849.76-1396.06</f>
        <v>653.70000000000027</v>
      </c>
    </row>
    <row r="144" spans="1:5" x14ac:dyDescent="0.25">
      <c r="A144" s="1" t="s">
        <v>246</v>
      </c>
      <c r="B144" s="2">
        <v>43720</v>
      </c>
      <c r="C144" s="16" t="s">
        <v>247</v>
      </c>
      <c r="D144" s="4">
        <v>43720</v>
      </c>
      <c r="E144" s="5">
        <f>200+1271.45-1380.12</f>
        <v>91.330000000000155</v>
      </c>
    </row>
    <row r="145" spans="1:5" x14ac:dyDescent="0.25">
      <c r="A145" s="1" t="s">
        <v>248</v>
      </c>
      <c r="B145" s="2">
        <v>43753</v>
      </c>
      <c r="C145" s="16" t="s">
        <v>249</v>
      </c>
      <c r="D145" s="4">
        <v>43753</v>
      </c>
      <c r="E145" s="5">
        <f>2050.56+200-1167.58</f>
        <v>1082.98</v>
      </c>
    </row>
    <row r="146" spans="1:5" x14ac:dyDescent="0.25">
      <c r="A146" s="1" t="s">
        <v>250</v>
      </c>
      <c r="B146" s="2">
        <v>43784</v>
      </c>
      <c r="C146" s="16" t="s">
        <v>251</v>
      </c>
      <c r="D146" s="4">
        <v>43784</v>
      </c>
      <c r="E146" s="5">
        <f>17096.06-2164.86+915</f>
        <v>15846.2</v>
      </c>
    </row>
    <row r="147" spans="1:5" x14ac:dyDescent="0.25">
      <c r="A147" s="1" t="s">
        <v>252</v>
      </c>
      <c r="B147" s="2">
        <v>43832</v>
      </c>
      <c r="C147" s="16" t="s">
        <v>253</v>
      </c>
      <c r="D147" s="4">
        <v>43832</v>
      </c>
      <c r="E147" s="5">
        <f>200+1362.2-1171.83</f>
        <v>390.37000000000012</v>
      </c>
    </row>
    <row r="148" spans="1:5" x14ac:dyDescent="0.25">
      <c r="A148" s="1" t="s">
        <v>254</v>
      </c>
      <c r="B148" s="2">
        <v>43846</v>
      </c>
      <c r="C148" s="16" t="s">
        <v>255</v>
      </c>
      <c r="D148" s="4">
        <v>43846</v>
      </c>
      <c r="E148" s="5">
        <f>200+2348.14-1305.79</f>
        <v>1242.3499999999999</v>
      </c>
    </row>
    <row r="149" spans="1:5" x14ac:dyDescent="0.25">
      <c r="A149" s="1" t="s">
        <v>256</v>
      </c>
      <c r="B149" s="2">
        <v>43846</v>
      </c>
      <c r="C149" s="16" t="s">
        <v>257</v>
      </c>
      <c r="D149" s="4">
        <v>43846</v>
      </c>
      <c r="E149" s="5">
        <f>200+2332.52-1228.72</f>
        <v>1303.8</v>
      </c>
    </row>
    <row r="150" spans="1:5" x14ac:dyDescent="0.25">
      <c r="A150" s="1" t="s">
        <v>258</v>
      </c>
      <c r="B150" s="2">
        <v>43846</v>
      </c>
      <c r="C150" s="16" t="s">
        <v>259</v>
      </c>
      <c r="D150" s="4">
        <v>43846</v>
      </c>
      <c r="E150" s="5">
        <f>200+2538.82-1366.57</f>
        <v>1372.2500000000002</v>
      </c>
    </row>
    <row r="151" spans="1:5" x14ac:dyDescent="0.25">
      <c r="A151" s="1" t="s">
        <v>260</v>
      </c>
      <c r="B151" s="2">
        <v>43880</v>
      </c>
      <c r="C151" s="16" t="s">
        <v>261</v>
      </c>
      <c r="D151" s="4">
        <v>43880</v>
      </c>
      <c r="E151" s="5">
        <f>290+5291.78-1609.08-20-486.58-486.58</f>
        <v>2979.54</v>
      </c>
    </row>
    <row r="152" spans="1:5" x14ac:dyDescent="0.25">
      <c r="A152" s="1" t="s">
        <v>262</v>
      </c>
      <c r="B152" s="2">
        <v>43952</v>
      </c>
      <c r="C152" s="16" t="s">
        <v>263</v>
      </c>
      <c r="D152" s="4">
        <v>43952</v>
      </c>
      <c r="E152" s="5">
        <f>200+2335.93-1456.01</f>
        <v>1079.9199999999998</v>
      </c>
    </row>
    <row r="153" spans="1:5" x14ac:dyDescent="0.25">
      <c r="A153" s="1" t="s">
        <v>264</v>
      </c>
      <c r="B153" s="2">
        <v>43952</v>
      </c>
      <c r="C153" s="16" t="s">
        <v>265</v>
      </c>
      <c r="D153" s="4">
        <v>43952</v>
      </c>
      <c r="E153" s="5">
        <f>200+2741.49-1262.98</f>
        <v>1678.5099999999998</v>
      </c>
    </row>
    <row r="154" spans="1:5" x14ac:dyDescent="0.25">
      <c r="A154" s="1" t="s">
        <v>266</v>
      </c>
      <c r="B154" s="2">
        <v>44032</v>
      </c>
      <c r="C154" s="16" t="s">
        <v>267</v>
      </c>
      <c r="D154" s="4">
        <v>44032</v>
      </c>
      <c r="E154" s="5">
        <f>695+12986.41-2454.5-10-65+75</f>
        <v>11226.91</v>
      </c>
    </row>
    <row r="155" spans="1:5" x14ac:dyDescent="0.25">
      <c r="A155" s="1" t="s">
        <v>268</v>
      </c>
      <c r="B155" s="2">
        <v>44048</v>
      </c>
      <c r="C155" s="16" t="s">
        <v>269</v>
      </c>
      <c r="D155" s="4">
        <v>44048</v>
      </c>
      <c r="E155" s="5">
        <f>1005+18796.99-2396.25</f>
        <v>17405.740000000002</v>
      </c>
    </row>
    <row r="156" spans="1:5" x14ac:dyDescent="0.25">
      <c r="A156" s="1" t="s">
        <v>270</v>
      </c>
      <c r="B156" s="2">
        <v>44060</v>
      </c>
      <c r="C156" s="16" t="s">
        <v>271</v>
      </c>
      <c r="D156" s="4">
        <v>44060</v>
      </c>
      <c r="E156" s="5">
        <f>200+2149.82-1699.77</f>
        <v>650.05000000000018</v>
      </c>
    </row>
    <row r="157" spans="1:5" x14ac:dyDescent="0.25">
      <c r="A157" s="1" t="s">
        <v>272</v>
      </c>
      <c r="B157" s="2">
        <v>44060</v>
      </c>
      <c r="C157" s="16" t="s">
        <v>273</v>
      </c>
      <c r="D157" s="4">
        <v>44060</v>
      </c>
      <c r="E157" s="5">
        <f>200+3577.67-1463.26</f>
        <v>2314.41</v>
      </c>
    </row>
    <row r="158" spans="1:5" x14ac:dyDescent="0.25">
      <c r="A158" s="1" t="s">
        <v>274</v>
      </c>
      <c r="B158" s="2">
        <v>44083</v>
      </c>
      <c r="C158" s="16" t="s">
        <v>275</v>
      </c>
      <c r="D158" s="4">
        <v>44083</v>
      </c>
      <c r="E158" s="5">
        <f>425+7930.56-1515.8</f>
        <v>6839.7600000000011</v>
      </c>
    </row>
    <row r="159" spans="1:5" x14ac:dyDescent="0.25">
      <c r="A159" s="1" t="s">
        <v>276</v>
      </c>
      <c r="B159" s="2">
        <v>44167</v>
      </c>
      <c r="C159" s="16" t="s">
        <v>277</v>
      </c>
      <c r="D159" s="4">
        <v>44167</v>
      </c>
      <c r="E159" s="5">
        <f>200+1061.91-1103.01</f>
        <v>158.90000000000009</v>
      </c>
    </row>
    <row r="160" spans="1:5" x14ac:dyDescent="0.25">
      <c r="A160" s="1" t="s">
        <v>278</v>
      </c>
      <c r="B160" s="2">
        <v>44182</v>
      </c>
      <c r="C160" s="16" t="s">
        <v>279</v>
      </c>
      <c r="D160" s="4">
        <v>44182</v>
      </c>
      <c r="E160" s="5">
        <f>200+2827.13-1851.16-10-577.99</f>
        <v>587.98</v>
      </c>
    </row>
    <row r="161" spans="1:5" x14ac:dyDescent="0.25">
      <c r="A161" s="1" t="s">
        <v>280</v>
      </c>
      <c r="B161" s="2">
        <v>44181</v>
      </c>
      <c r="C161" s="16" t="s">
        <v>281</v>
      </c>
      <c r="D161" s="4">
        <v>44181</v>
      </c>
      <c r="E161" s="5">
        <f>5582.28+300-1279.48</f>
        <v>4602.7999999999993</v>
      </c>
    </row>
    <row r="162" spans="1:5" x14ac:dyDescent="0.25">
      <c r="A162" s="1" t="s">
        <v>282</v>
      </c>
      <c r="B162" s="2">
        <v>44186</v>
      </c>
      <c r="C162" s="16" t="s">
        <v>283</v>
      </c>
      <c r="D162" s="4">
        <v>44186</v>
      </c>
      <c r="E162" s="5">
        <f>260+4848.48-1744.09</f>
        <v>3364.3899999999994</v>
      </c>
    </row>
    <row r="163" spans="1:5" x14ac:dyDescent="0.25">
      <c r="A163" s="1" t="s">
        <v>284</v>
      </c>
      <c r="B163" s="2">
        <v>44407</v>
      </c>
      <c r="C163" s="16" t="s">
        <v>285</v>
      </c>
      <c r="D163" s="4">
        <v>44407</v>
      </c>
      <c r="E163" s="5">
        <f>200+3032.54-1508.25</f>
        <v>1724.29</v>
      </c>
    </row>
    <row r="164" spans="1:5" x14ac:dyDescent="0.25">
      <c r="A164" s="1" t="s">
        <v>286</v>
      </c>
      <c r="B164" s="2">
        <v>44407</v>
      </c>
      <c r="C164" s="16" t="s">
        <v>287</v>
      </c>
      <c r="D164" s="4">
        <v>44407</v>
      </c>
      <c r="E164" s="5">
        <f>1080+20104.11-1586.32-10-4889.45</f>
        <v>14698.34</v>
      </c>
    </row>
    <row r="165" spans="1:5" x14ac:dyDescent="0.25">
      <c r="A165" s="1" t="s">
        <v>288</v>
      </c>
      <c r="B165" s="2">
        <v>44392</v>
      </c>
      <c r="C165" s="16" t="s">
        <v>289</v>
      </c>
      <c r="D165" s="4">
        <v>44392</v>
      </c>
      <c r="E165" s="5">
        <f>7790+147966.53-155704.04</f>
        <v>52.489999999990687</v>
      </c>
    </row>
    <row r="166" spans="1:5" x14ac:dyDescent="0.25">
      <c r="A166" s="1" t="s">
        <v>290</v>
      </c>
      <c r="B166" s="2">
        <v>44418</v>
      </c>
      <c r="C166" s="16" t="s">
        <v>291</v>
      </c>
      <c r="D166" s="4">
        <v>44418</v>
      </c>
      <c r="E166" s="5">
        <f>200+878.17-974.46</f>
        <v>103.71000000000004</v>
      </c>
    </row>
    <row r="167" spans="1:5" x14ac:dyDescent="0.25">
      <c r="A167" s="1" t="s">
        <v>292</v>
      </c>
      <c r="B167" s="2">
        <v>44432</v>
      </c>
      <c r="C167" s="16" t="s">
        <v>293</v>
      </c>
      <c r="D167" s="4">
        <v>44432</v>
      </c>
      <c r="E167" s="5">
        <f>335+6240.77-1123.43</f>
        <v>5452.34</v>
      </c>
    </row>
    <row r="168" spans="1:5" x14ac:dyDescent="0.25">
      <c r="A168" s="1" t="s">
        <v>294</v>
      </c>
      <c r="B168" s="2">
        <v>44439</v>
      </c>
      <c r="C168" s="16" t="s">
        <v>295</v>
      </c>
      <c r="D168" s="4">
        <v>44439</v>
      </c>
      <c r="E168" s="5">
        <f>605+11297.31-1125.63</f>
        <v>10776.68</v>
      </c>
    </row>
    <row r="169" spans="1:5" x14ac:dyDescent="0.25">
      <c r="A169" s="1" t="s">
        <v>296</v>
      </c>
      <c r="B169" s="2">
        <v>44447</v>
      </c>
      <c r="C169" s="16" t="s">
        <v>297</v>
      </c>
      <c r="D169" s="4">
        <v>44447</v>
      </c>
      <c r="E169" s="5">
        <f>755+14060.74-1357.91-4475.95-10</f>
        <v>8971.880000000001</v>
      </c>
    </row>
    <row r="170" spans="1:5" x14ac:dyDescent="0.25">
      <c r="A170" s="1" t="s">
        <v>298</v>
      </c>
      <c r="B170" s="2">
        <v>44476</v>
      </c>
      <c r="C170" s="16" t="s">
        <v>299</v>
      </c>
      <c r="D170" s="4">
        <v>44476</v>
      </c>
      <c r="E170" s="5">
        <f>200+2435.35-1095.31</f>
        <v>1540.04</v>
      </c>
    </row>
    <row r="171" spans="1:5" x14ac:dyDescent="0.25">
      <c r="A171" s="1" t="s">
        <v>300</v>
      </c>
      <c r="B171" s="2">
        <v>44470</v>
      </c>
      <c r="C171" s="16" t="s">
        <v>301</v>
      </c>
      <c r="D171" s="4">
        <v>44470</v>
      </c>
      <c r="E171" s="5">
        <f>1005+18739.71-1622.46-10-14366.87</f>
        <v>3745.3799999999992</v>
      </c>
    </row>
    <row r="172" spans="1:5" x14ac:dyDescent="0.25">
      <c r="A172" s="1" t="s">
        <v>302</v>
      </c>
      <c r="B172" s="2">
        <v>44470</v>
      </c>
      <c r="C172" s="16" t="s">
        <v>303</v>
      </c>
      <c r="D172" s="4">
        <v>44473</v>
      </c>
      <c r="E172" s="5">
        <f>390+7269.89-1164.74-1766.03-10-34-10</f>
        <v>4675.1200000000008</v>
      </c>
    </row>
    <row r="173" spans="1:5" x14ac:dyDescent="0.25">
      <c r="A173" s="1" t="s">
        <v>304</v>
      </c>
      <c r="B173" s="2">
        <v>44481</v>
      </c>
      <c r="C173" s="16" t="s">
        <v>305</v>
      </c>
      <c r="D173" s="4">
        <v>44481</v>
      </c>
      <c r="E173" s="5">
        <f>200+1753.26-1544.79</f>
        <v>408.47</v>
      </c>
    </row>
    <row r="174" spans="1:5" x14ac:dyDescent="0.25">
      <c r="A174" s="1" t="s">
        <v>306</v>
      </c>
      <c r="B174" s="2">
        <v>44481</v>
      </c>
      <c r="C174" s="16" t="s">
        <v>307</v>
      </c>
      <c r="D174" s="4">
        <v>44481</v>
      </c>
      <c r="E174" s="5">
        <f>250+4623.26-1795.25+36</f>
        <v>3114.01</v>
      </c>
    </row>
    <row r="175" spans="1:5" x14ac:dyDescent="0.25">
      <c r="A175" s="1" t="s">
        <v>308</v>
      </c>
      <c r="B175" s="2">
        <v>44453</v>
      </c>
      <c r="C175" s="16" t="s">
        <v>309</v>
      </c>
      <c r="D175" s="4">
        <v>44453</v>
      </c>
      <c r="E175" s="5">
        <f>200+2828.53-1541.66</f>
        <v>1486.8700000000001</v>
      </c>
    </row>
    <row r="176" spans="1:5" x14ac:dyDescent="0.25">
      <c r="A176" s="1" t="s">
        <v>310</v>
      </c>
      <c r="B176" s="2">
        <v>44509</v>
      </c>
      <c r="C176" s="16" t="s">
        <v>311</v>
      </c>
      <c r="D176" s="4">
        <v>44509</v>
      </c>
      <c r="E176" s="5">
        <f>565+10540.43-1643.11</f>
        <v>9462.32</v>
      </c>
    </row>
    <row r="177" spans="1:6" x14ac:dyDescent="0.25">
      <c r="A177" s="1" t="s">
        <v>312</v>
      </c>
      <c r="B177" s="2">
        <v>44509</v>
      </c>
      <c r="C177" s="16" t="s">
        <v>313</v>
      </c>
      <c r="D177" s="4">
        <v>44509</v>
      </c>
      <c r="E177" s="5">
        <f>200+3701.15-1252.32</f>
        <v>2648.83</v>
      </c>
    </row>
    <row r="178" spans="1:6" x14ac:dyDescent="0.25">
      <c r="A178" s="1" t="s">
        <v>314</v>
      </c>
      <c r="B178" s="2">
        <v>44600</v>
      </c>
      <c r="C178" s="16" t="s">
        <v>315</v>
      </c>
      <c r="D178" s="4">
        <v>44600</v>
      </c>
      <c r="E178" s="5">
        <f>200+3705.94-1571.1</f>
        <v>2334.84</v>
      </c>
    </row>
    <row r="179" spans="1:6" x14ac:dyDescent="0.25">
      <c r="A179" s="1" t="s">
        <v>316</v>
      </c>
      <c r="B179" s="2">
        <v>44582</v>
      </c>
      <c r="C179" s="16" t="s">
        <v>317</v>
      </c>
      <c r="D179" s="4">
        <v>44582</v>
      </c>
      <c r="E179" s="5">
        <f>705+900+16794.04-1399.88-705+482.5-509.23</f>
        <v>16267.43</v>
      </c>
    </row>
    <row r="180" spans="1:6" x14ac:dyDescent="0.25">
      <c r="A180" s="1" t="s">
        <v>318</v>
      </c>
      <c r="B180" s="2">
        <v>44582</v>
      </c>
      <c r="C180" s="16" t="s">
        <v>319</v>
      </c>
      <c r="D180" s="4">
        <v>44582</v>
      </c>
      <c r="E180" s="5">
        <f>2335+43508.24-1861.99-10-3532.84-10-6992.07</f>
        <v>33436.340000000004</v>
      </c>
    </row>
    <row r="181" spans="1:6" x14ac:dyDescent="0.25">
      <c r="A181" s="1" t="s">
        <v>320</v>
      </c>
      <c r="B181" s="2">
        <v>44600</v>
      </c>
      <c r="C181" s="16" t="s">
        <v>321</v>
      </c>
      <c r="D181" s="4">
        <v>44600</v>
      </c>
      <c r="E181" s="5">
        <f>230+4243.41-1485.3</f>
        <v>2988.1099999999997</v>
      </c>
    </row>
    <row r="182" spans="1:6" x14ac:dyDescent="0.25">
      <c r="A182" s="1" t="s">
        <v>322</v>
      </c>
      <c r="B182" s="2">
        <v>44621</v>
      </c>
      <c r="C182" s="16" t="s">
        <v>323</v>
      </c>
      <c r="D182" s="4">
        <v>44623</v>
      </c>
      <c r="E182" s="5">
        <f>625+11682.01-2948.94</f>
        <v>9358.07</v>
      </c>
    </row>
    <row r="183" spans="1:6" x14ac:dyDescent="0.25">
      <c r="A183" s="1" t="s">
        <v>324</v>
      </c>
      <c r="B183" s="2">
        <v>44636</v>
      </c>
      <c r="C183" s="16" t="s">
        <v>325</v>
      </c>
      <c r="D183" s="4">
        <v>44636</v>
      </c>
      <c r="E183" s="5">
        <f>530+9886.15-1657.91</f>
        <v>8758.24</v>
      </c>
    </row>
    <row r="184" spans="1:6" x14ac:dyDescent="0.25">
      <c r="A184" s="1" t="s">
        <v>326</v>
      </c>
      <c r="B184" s="2">
        <v>44663</v>
      </c>
      <c r="C184" s="16" t="s">
        <v>327</v>
      </c>
      <c r="D184" s="4">
        <v>44664</v>
      </c>
      <c r="E184" s="5">
        <f>430+7992.19-1642.82</f>
        <v>6779.369999999999</v>
      </c>
    </row>
    <row r="185" spans="1:6" x14ac:dyDescent="0.25">
      <c r="A185" s="1" t="s">
        <v>328</v>
      </c>
      <c r="B185" s="2">
        <v>44735</v>
      </c>
      <c r="C185" s="16" t="s">
        <v>329</v>
      </c>
      <c r="D185" s="4">
        <v>44735</v>
      </c>
      <c r="E185" s="5">
        <f>800+14925.01-982.12</f>
        <v>14742.89</v>
      </c>
    </row>
    <row r="186" spans="1:6" x14ac:dyDescent="0.25">
      <c r="A186" s="1" t="s">
        <v>330</v>
      </c>
      <c r="B186" s="2">
        <v>44775</v>
      </c>
      <c r="C186" s="16" t="s">
        <v>331</v>
      </c>
      <c r="D186" s="4">
        <v>44775</v>
      </c>
      <c r="E186" s="5">
        <f>200+3235.51-3405.17</f>
        <v>30.340000000000146</v>
      </c>
    </row>
    <row r="187" spans="1:6" x14ac:dyDescent="0.25">
      <c r="A187" s="1" t="s">
        <v>332</v>
      </c>
      <c r="B187" s="2">
        <v>44824</v>
      </c>
      <c r="C187" s="16" t="s">
        <v>333</v>
      </c>
      <c r="D187" s="4">
        <v>44824</v>
      </c>
      <c r="E187" s="5">
        <f>325+6062.87-1357.95</f>
        <v>5029.92</v>
      </c>
    </row>
    <row r="188" spans="1:6" x14ac:dyDescent="0.25">
      <c r="A188" s="1" t="s">
        <v>334</v>
      </c>
      <c r="B188" s="2">
        <v>44880</v>
      </c>
      <c r="C188" s="16" t="s">
        <v>335</v>
      </c>
      <c r="D188" s="4">
        <v>44880</v>
      </c>
      <c r="E188" s="5">
        <f>855+15953.55-1129.92</f>
        <v>15678.63</v>
      </c>
    </row>
    <row r="189" spans="1:6" x14ac:dyDescent="0.25">
      <c r="A189" s="1" t="s">
        <v>336</v>
      </c>
      <c r="B189" s="2">
        <v>44894</v>
      </c>
      <c r="C189" s="16" t="s">
        <v>337</v>
      </c>
      <c r="D189" s="4">
        <v>44895</v>
      </c>
      <c r="E189" s="5">
        <f>15849.13-1145.01</f>
        <v>14704.119999999999</v>
      </c>
    </row>
    <row r="190" spans="1:6" x14ac:dyDescent="0.25">
      <c r="A190" s="1" t="s">
        <v>338</v>
      </c>
      <c r="B190" s="2">
        <v>44964</v>
      </c>
      <c r="C190" s="16" t="s">
        <v>339</v>
      </c>
      <c r="D190" s="4">
        <v>44964</v>
      </c>
      <c r="E190" s="5">
        <f>5096.14-1172.56</f>
        <v>3923.5800000000004</v>
      </c>
    </row>
    <row r="191" spans="1:6" x14ac:dyDescent="0.25">
      <c r="A191" s="1" t="s">
        <v>340</v>
      </c>
      <c r="B191" s="2">
        <v>45090</v>
      </c>
      <c r="C191" s="16" t="s">
        <v>341</v>
      </c>
      <c r="D191" s="4">
        <v>45090</v>
      </c>
      <c r="E191" s="5">
        <f>10363.08+555-1305.39</f>
        <v>9612.69</v>
      </c>
    </row>
    <row r="192" spans="1:6" x14ac:dyDescent="0.25">
      <c r="A192" s="1" t="s">
        <v>342</v>
      </c>
      <c r="B192" s="2">
        <v>45090</v>
      </c>
      <c r="C192" s="9" t="s">
        <v>343</v>
      </c>
      <c r="D192" s="4">
        <v>45090</v>
      </c>
      <c r="E192" s="5">
        <f>11724.76+630-1400.64</f>
        <v>10954.12</v>
      </c>
      <c r="F192" s="2"/>
    </row>
    <row r="193" spans="1:6" x14ac:dyDescent="0.25">
      <c r="A193" s="1" t="s">
        <v>344</v>
      </c>
      <c r="B193" s="2">
        <v>45104</v>
      </c>
      <c r="C193" s="16" t="s">
        <v>345</v>
      </c>
      <c r="D193" s="4">
        <v>45104</v>
      </c>
      <c r="E193" s="5">
        <f>14163.23-1511.77</f>
        <v>12651.46</v>
      </c>
      <c r="F193" s="2"/>
    </row>
    <row r="194" spans="1:6" x14ac:dyDescent="0.25">
      <c r="A194" s="1" t="s">
        <v>346</v>
      </c>
      <c r="B194" s="2">
        <v>45188</v>
      </c>
      <c r="C194" s="16" t="s">
        <v>347</v>
      </c>
      <c r="D194" s="4">
        <v>45188</v>
      </c>
      <c r="E194" s="5">
        <f>905+16845.8-1660.29-8030.26</f>
        <v>8060.2499999999982</v>
      </c>
      <c r="F194" s="2"/>
    </row>
    <row r="195" spans="1:6" x14ac:dyDescent="0.25">
      <c r="A195" s="1" t="s">
        <v>348</v>
      </c>
      <c r="B195" s="2">
        <v>45112</v>
      </c>
      <c r="C195" s="16" t="s">
        <v>349</v>
      </c>
      <c r="D195" s="4">
        <v>45112</v>
      </c>
      <c r="E195" s="5">
        <f>1030+19214.6-10-2293.18-1453.31</f>
        <v>16488.109999999997</v>
      </c>
      <c r="F195" s="2"/>
    </row>
    <row r="196" spans="1:6" x14ac:dyDescent="0.25">
      <c r="A196" s="1" t="s">
        <v>350</v>
      </c>
      <c r="B196" s="2">
        <v>45125</v>
      </c>
      <c r="C196" s="16" t="s">
        <v>351</v>
      </c>
      <c r="D196" s="4">
        <v>45126</v>
      </c>
      <c r="E196" s="5">
        <f>287913.06-5230.43+15395</f>
        <v>298077.63</v>
      </c>
      <c r="F196" s="2"/>
    </row>
    <row r="197" spans="1:6" x14ac:dyDescent="0.25">
      <c r="A197" s="1" t="s">
        <v>352</v>
      </c>
      <c r="B197" s="2">
        <v>45153</v>
      </c>
      <c r="C197" s="16" t="s">
        <v>353</v>
      </c>
      <c r="D197" s="4">
        <v>45153</v>
      </c>
      <c r="E197" s="5">
        <f>1555+28935-1780</f>
        <v>28710</v>
      </c>
      <c r="F197" s="2"/>
    </row>
    <row r="198" spans="1:6" x14ac:dyDescent="0.25">
      <c r="A198" s="1" t="s">
        <v>354</v>
      </c>
      <c r="B198" s="2">
        <v>45146</v>
      </c>
      <c r="C198" s="16" t="s">
        <v>355</v>
      </c>
      <c r="D198" s="4">
        <v>45146</v>
      </c>
      <c r="E198" s="5">
        <f>555+10333.29-1009.09</f>
        <v>9879.2000000000007</v>
      </c>
      <c r="F198" s="2"/>
    </row>
    <row r="199" spans="1:6" x14ac:dyDescent="0.25">
      <c r="A199" s="1" t="s">
        <v>356</v>
      </c>
      <c r="B199" s="2">
        <v>45176</v>
      </c>
      <c r="C199" s="16" t="s">
        <v>357</v>
      </c>
      <c r="D199" s="4">
        <v>45176</v>
      </c>
      <c r="E199" s="5">
        <f>5935+112752.84-118628.01+12.16</f>
        <v>71.990000000001743</v>
      </c>
      <c r="F199" s="2"/>
    </row>
    <row r="200" spans="1:6" x14ac:dyDescent="0.25">
      <c r="A200" s="1" t="s">
        <v>358</v>
      </c>
      <c r="B200" s="2">
        <v>45178</v>
      </c>
      <c r="C200" s="16" t="s">
        <v>359</v>
      </c>
      <c r="D200" s="4">
        <v>45188</v>
      </c>
      <c r="E200" s="5">
        <f>74769.32+4000-1414.76</f>
        <v>77354.560000000012</v>
      </c>
      <c r="F200" s="2"/>
    </row>
    <row r="201" spans="1:6" x14ac:dyDescent="0.25">
      <c r="A201" s="1" t="s">
        <v>360</v>
      </c>
      <c r="B201" s="2">
        <v>45258</v>
      </c>
      <c r="C201" s="16" t="s">
        <v>361</v>
      </c>
      <c r="D201" s="4">
        <v>45258</v>
      </c>
      <c r="E201" s="5">
        <f>4285+80092.64-2692.76</f>
        <v>81684.88</v>
      </c>
      <c r="F201" s="2"/>
    </row>
    <row r="202" spans="1:6" x14ac:dyDescent="0.25">
      <c r="A202" s="1" t="s">
        <v>362</v>
      </c>
      <c r="B202" s="2">
        <v>45288</v>
      </c>
      <c r="C202" s="16" t="s">
        <v>363</v>
      </c>
      <c r="D202" s="4">
        <v>45288</v>
      </c>
      <c r="E202" s="5">
        <f>405+7555.28-1118.73</f>
        <v>6841.5499999999993</v>
      </c>
      <c r="F202" s="2"/>
    </row>
    <row r="203" spans="1:6" x14ac:dyDescent="0.25">
      <c r="A203" s="1" t="s">
        <v>364</v>
      </c>
      <c r="B203" s="2">
        <v>45288</v>
      </c>
      <c r="C203" s="16" t="s">
        <v>365</v>
      </c>
      <c r="D203" s="4">
        <v>45288</v>
      </c>
      <c r="E203" s="5">
        <f>550+10243.63-1265.12</f>
        <v>9528.5099999999984</v>
      </c>
      <c r="F203" s="2"/>
    </row>
    <row r="204" spans="1:6" x14ac:dyDescent="0.25">
      <c r="A204" s="1" t="s">
        <v>366</v>
      </c>
      <c r="B204" s="2">
        <v>45303</v>
      </c>
      <c r="C204" s="16" t="s">
        <v>367</v>
      </c>
      <c r="D204" s="4">
        <v>45303</v>
      </c>
      <c r="E204" s="5">
        <f>370+6897.3-2013.2</f>
        <v>5254.1</v>
      </c>
      <c r="F204" s="2"/>
    </row>
    <row r="205" spans="1:6" x14ac:dyDescent="0.25">
      <c r="A205" s="1" t="s">
        <v>368</v>
      </c>
      <c r="B205" s="2">
        <v>45337</v>
      </c>
      <c r="C205" s="16" t="s">
        <v>369</v>
      </c>
      <c r="D205" s="4">
        <v>45337</v>
      </c>
      <c r="E205" s="5">
        <f>335+6198.45-1782.33</f>
        <v>4751.12</v>
      </c>
      <c r="F205" s="2"/>
    </row>
    <row r="206" spans="1:6" x14ac:dyDescent="0.25">
      <c r="A206" s="1" t="s">
        <v>370</v>
      </c>
      <c r="B206" s="2">
        <v>45348</v>
      </c>
      <c r="C206" s="16" t="s">
        <v>371</v>
      </c>
      <c r="D206" s="4">
        <v>45377</v>
      </c>
      <c r="E206" s="5">
        <f>1810+33776.79-2084.11</f>
        <v>33502.68</v>
      </c>
      <c r="F206" s="2"/>
    </row>
    <row r="207" spans="1:6" x14ac:dyDescent="0.25">
      <c r="A207" s="1" t="s">
        <v>372</v>
      </c>
      <c r="B207" s="2">
        <v>45391</v>
      </c>
      <c r="C207" s="16" t="s">
        <v>373</v>
      </c>
      <c r="D207" s="4">
        <v>45391</v>
      </c>
      <c r="E207" s="5">
        <f>305+5688.33-1442.32</f>
        <v>4551.01</v>
      </c>
      <c r="F207" s="2"/>
    </row>
    <row r="208" spans="1:6" x14ac:dyDescent="0.25">
      <c r="A208" s="1" t="s">
        <v>374</v>
      </c>
      <c r="B208" s="2">
        <v>45414</v>
      </c>
      <c r="C208" s="16" t="s">
        <v>375</v>
      </c>
      <c r="D208" s="4">
        <v>45414</v>
      </c>
      <c r="E208" s="5">
        <f>1255+23466.1-3537.42</f>
        <v>21183.68</v>
      </c>
      <c r="F208" s="2"/>
    </row>
    <row r="209" spans="1:6" x14ac:dyDescent="0.25">
      <c r="A209" s="1" t="s">
        <v>376</v>
      </c>
      <c r="B209" s="2">
        <v>45484</v>
      </c>
      <c r="C209" s="16" t="s">
        <v>377</v>
      </c>
      <c r="D209" s="4">
        <v>45484</v>
      </c>
      <c r="E209" s="5">
        <f>7530+140775.72-3833.66-10-72226.03</f>
        <v>72236.03</v>
      </c>
      <c r="F209" s="2"/>
    </row>
    <row r="210" spans="1:6" x14ac:dyDescent="0.25">
      <c r="A210" s="1" t="s">
        <v>378</v>
      </c>
      <c r="B210" s="2">
        <v>45558</v>
      </c>
      <c r="C210" s="16" t="s">
        <v>379</v>
      </c>
      <c r="D210" s="4">
        <v>45558</v>
      </c>
      <c r="E210" s="5">
        <f>460+8603.96-2032.11</f>
        <v>7031.8499999999995</v>
      </c>
      <c r="F210" s="2"/>
    </row>
    <row r="211" spans="1:6" x14ac:dyDescent="0.25">
      <c r="A211" s="1" t="s">
        <v>380</v>
      </c>
      <c r="B211" s="2">
        <v>45489</v>
      </c>
      <c r="C211" s="16" t="s">
        <v>381</v>
      </c>
      <c r="D211" s="4">
        <v>45489</v>
      </c>
      <c r="E211" s="5">
        <f>430+7990.5-901.58</f>
        <v>7518.92</v>
      </c>
      <c r="F211" s="2"/>
    </row>
    <row r="212" spans="1:6" x14ac:dyDescent="0.25">
      <c r="A212" s="1" t="s">
        <v>382</v>
      </c>
      <c r="B212" s="2">
        <v>45483</v>
      </c>
      <c r="C212" s="16" t="s">
        <v>383</v>
      </c>
      <c r="D212" s="4">
        <v>45483</v>
      </c>
      <c r="E212" s="5">
        <f>800+14946.81-2196.2</f>
        <v>13550.61</v>
      </c>
      <c r="F212" s="2"/>
    </row>
    <row r="213" spans="1:6" x14ac:dyDescent="0.25">
      <c r="A213" s="1" t="s">
        <v>384</v>
      </c>
      <c r="B213" s="2">
        <v>45551</v>
      </c>
      <c r="C213" s="16" t="s">
        <v>385</v>
      </c>
      <c r="D213" s="4">
        <v>45551</v>
      </c>
      <c r="E213" s="5">
        <f>200+2834.4-1316.96</f>
        <v>1717.44</v>
      </c>
      <c r="F213" s="2"/>
    </row>
    <row r="214" spans="1:6" x14ac:dyDescent="0.25">
      <c r="A214" s="1" t="s">
        <v>386</v>
      </c>
      <c r="B214" s="2">
        <v>45484</v>
      </c>
      <c r="C214" s="16" t="s">
        <v>387</v>
      </c>
      <c r="D214" s="4">
        <v>45484</v>
      </c>
      <c r="E214" s="5">
        <f>460+8578.22-868.3</f>
        <v>8169.9199999999992</v>
      </c>
      <c r="F214" s="2"/>
    </row>
    <row r="215" spans="1:6" x14ac:dyDescent="0.25">
      <c r="A215" s="1" t="s">
        <v>388</v>
      </c>
      <c r="B215" s="2">
        <v>45552</v>
      </c>
      <c r="C215" s="16" t="s">
        <v>389</v>
      </c>
      <c r="D215" s="4">
        <v>45551</v>
      </c>
      <c r="E215" s="5">
        <f>200+1391.06-1523.89</f>
        <v>67.169999999999845</v>
      </c>
      <c r="F215" s="2"/>
    </row>
    <row r="216" spans="1:6" x14ac:dyDescent="0.25">
      <c r="A216" s="1" t="s">
        <v>390</v>
      </c>
      <c r="B216" s="2">
        <v>45551</v>
      </c>
      <c r="C216" s="16" t="s">
        <v>391</v>
      </c>
      <c r="D216" s="4">
        <v>45551</v>
      </c>
      <c r="E216" s="5">
        <f>200+3011.1-1340.97</f>
        <v>1870.1299999999999</v>
      </c>
      <c r="F216" s="2"/>
    </row>
    <row r="217" spans="1:6" x14ac:dyDescent="0.25">
      <c r="A217" s="1" t="s">
        <v>392</v>
      </c>
      <c r="B217" s="2">
        <v>45517</v>
      </c>
      <c r="C217" s="16" t="s">
        <v>393</v>
      </c>
      <c r="D217" s="4">
        <v>45517</v>
      </c>
      <c r="E217" s="5">
        <f>2005+37465.47-1409.92</f>
        <v>38060.550000000003</v>
      </c>
      <c r="F217" s="2"/>
    </row>
    <row r="218" spans="1:6" x14ac:dyDescent="0.25">
      <c r="A218" s="1" t="s">
        <v>394</v>
      </c>
      <c r="B218" s="2">
        <v>45540</v>
      </c>
      <c r="C218" s="16" t="s">
        <v>395</v>
      </c>
      <c r="D218" s="4">
        <v>45540</v>
      </c>
      <c r="E218" s="5">
        <f>1030+19231.21-1246.84</f>
        <v>19014.37</v>
      </c>
      <c r="F218" s="2"/>
    </row>
    <row r="219" spans="1:6" x14ac:dyDescent="0.25">
      <c r="A219" s="1" t="s">
        <v>396</v>
      </c>
      <c r="B219" s="2">
        <v>45524</v>
      </c>
      <c r="C219" s="16" t="s">
        <v>397</v>
      </c>
      <c r="D219" s="4">
        <v>45524</v>
      </c>
      <c r="E219" s="5">
        <f>200+2990.15-1321.54</f>
        <v>1868.6100000000001</v>
      </c>
      <c r="F219" s="2"/>
    </row>
    <row r="220" spans="1:6" x14ac:dyDescent="0.25">
      <c r="A220" s="1" t="s">
        <v>398</v>
      </c>
      <c r="B220" s="2">
        <v>45531</v>
      </c>
      <c r="C220" s="16" t="s">
        <v>399</v>
      </c>
      <c r="D220" s="4">
        <v>45531</v>
      </c>
      <c r="E220" s="5">
        <f>255+4744.04-959.29</f>
        <v>4039.75</v>
      </c>
      <c r="F220" s="2"/>
    </row>
    <row r="221" spans="1:6" x14ac:dyDescent="0.25">
      <c r="A221" s="1" t="s">
        <v>400</v>
      </c>
      <c r="B221" s="2">
        <v>45524</v>
      </c>
      <c r="C221" s="16" t="s">
        <v>401</v>
      </c>
      <c r="D221" s="4">
        <v>45524</v>
      </c>
      <c r="E221" s="5">
        <f>200+3330.01-1797.7</f>
        <v>1732.3100000000002</v>
      </c>
      <c r="F221" s="2"/>
    </row>
    <row r="222" spans="1:6" x14ac:dyDescent="0.25">
      <c r="A222" s="1" t="s">
        <v>402</v>
      </c>
      <c r="B222" s="2">
        <v>45558</v>
      </c>
      <c r="C222" s="16" t="s">
        <v>403</v>
      </c>
      <c r="D222" s="4">
        <v>45558</v>
      </c>
      <c r="E222" s="5">
        <f>1255+23418.83-2033.25</f>
        <v>22640.58</v>
      </c>
      <c r="F222" s="2"/>
    </row>
    <row r="223" spans="1:6" x14ac:dyDescent="0.25">
      <c r="A223" s="1" t="s">
        <v>404</v>
      </c>
      <c r="B223" s="2">
        <v>45531</v>
      </c>
      <c r="C223" s="16" t="s">
        <v>405</v>
      </c>
      <c r="D223" s="4">
        <v>45531</v>
      </c>
      <c r="E223" s="5">
        <f>710+13169.79-1640.52-40-1349.92-1349.92-1349.92-4079.76</f>
        <v>4069.75</v>
      </c>
      <c r="F223" s="2"/>
    </row>
    <row r="224" spans="1:6" x14ac:dyDescent="0.25">
      <c r="A224" s="1" t="s">
        <v>406</v>
      </c>
      <c r="B224" s="2">
        <v>45560</v>
      </c>
      <c r="C224" s="16" t="s">
        <v>407</v>
      </c>
      <c r="D224" s="4">
        <v>45560</v>
      </c>
      <c r="E224" s="5">
        <f>2505+46838.11-1541.86</f>
        <v>47801.25</v>
      </c>
      <c r="F224" s="2"/>
    </row>
    <row r="225" spans="1:6" x14ac:dyDescent="0.25">
      <c r="A225" s="1" t="s">
        <v>408</v>
      </c>
      <c r="B225" s="2">
        <v>45560</v>
      </c>
      <c r="C225" s="16" t="s">
        <v>409</v>
      </c>
      <c r="D225" s="4">
        <v>45560</v>
      </c>
      <c r="E225" s="5">
        <f>225+4216.99-3222.54</f>
        <v>1219.4499999999998</v>
      </c>
      <c r="F225" s="2"/>
    </row>
    <row r="226" spans="1:6" x14ac:dyDescent="0.25">
      <c r="A226" s="1" t="s">
        <v>410</v>
      </c>
      <c r="B226" s="2">
        <v>45566</v>
      </c>
      <c r="C226" s="16" t="s">
        <v>411</v>
      </c>
      <c r="D226" s="4">
        <v>45566</v>
      </c>
      <c r="E226" s="5">
        <f>1110+20628.39-1545.2-20-3355.53-3355.53</f>
        <v>13462.13</v>
      </c>
      <c r="F226" s="2"/>
    </row>
    <row r="227" spans="1:6" x14ac:dyDescent="0.25">
      <c r="A227" s="1" t="s">
        <v>412</v>
      </c>
      <c r="B227" s="2">
        <v>45575</v>
      </c>
      <c r="C227" s="16" t="s">
        <v>413</v>
      </c>
      <c r="D227" s="4">
        <v>45575</v>
      </c>
      <c r="E227" s="5">
        <f>810+15103.75-1084.04</f>
        <v>14829.71</v>
      </c>
    </row>
    <row r="228" spans="1:6" x14ac:dyDescent="0.25">
      <c r="A228" s="1" t="s">
        <v>414</v>
      </c>
      <c r="B228" s="2">
        <v>45622</v>
      </c>
      <c r="C228" s="16" t="s">
        <v>415</v>
      </c>
      <c r="D228" s="4">
        <v>45622</v>
      </c>
      <c r="E228" s="5">
        <f>8445.84+455-1167.4</f>
        <v>7733.4400000000005</v>
      </c>
      <c r="F228" s="2"/>
    </row>
    <row r="229" spans="1:6" x14ac:dyDescent="0.25">
      <c r="A229" s="1" t="s">
        <v>416</v>
      </c>
      <c r="B229" s="2">
        <v>45622</v>
      </c>
      <c r="C229" s="16" t="s">
        <v>417</v>
      </c>
      <c r="D229" s="4">
        <v>45622</v>
      </c>
      <c r="E229" s="5">
        <f>8433.1+455-1277.55</f>
        <v>7610.55</v>
      </c>
      <c r="F229" s="2"/>
    </row>
    <row r="230" spans="1:6" x14ac:dyDescent="0.25">
      <c r="A230" s="1" t="s">
        <v>418</v>
      </c>
      <c r="B230" s="2">
        <v>45622</v>
      </c>
      <c r="C230" s="16" t="s">
        <v>419</v>
      </c>
      <c r="D230" s="4">
        <v>45622</v>
      </c>
      <c r="E230" s="5">
        <f>1005+18767.53-1547.11</f>
        <v>18225.419999999998</v>
      </c>
      <c r="F230" s="2"/>
    </row>
    <row r="231" spans="1:6" x14ac:dyDescent="0.25">
      <c r="A231" s="1" t="s">
        <v>420</v>
      </c>
      <c r="B231" s="2">
        <v>45631</v>
      </c>
      <c r="C231" s="16" t="s">
        <v>421</v>
      </c>
      <c r="D231" s="4">
        <v>45631</v>
      </c>
      <c r="E231" s="5">
        <f>505+9393.09-1984.21-10-2631.29</f>
        <v>5272.59</v>
      </c>
      <c r="F231" s="2"/>
    </row>
    <row r="232" spans="1:6" x14ac:dyDescent="0.25">
      <c r="A232" s="1" t="s">
        <v>422</v>
      </c>
      <c r="B232" s="2">
        <v>45782</v>
      </c>
      <c r="C232" s="16" t="s">
        <v>423</v>
      </c>
      <c r="D232" s="4">
        <v>45782</v>
      </c>
      <c r="E232" s="5">
        <f>200+1557.73-1436.1</f>
        <v>321.63000000000011</v>
      </c>
      <c r="F232" s="2"/>
    </row>
    <row r="233" spans="1:6" x14ac:dyDescent="0.25">
      <c r="A233" s="1" t="s">
        <v>424</v>
      </c>
      <c r="B233" s="2">
        <v>45782</v>
      </c>
      <c r="C233" s="16" t="s">
        <v>425</v>
      </c>
      <c r="D233" s="4">
        <v>45782</v>
      </c>
      <c r="E233" s="5">
        <f>680+12659.37-1569.34</f>
        <v>11770.03</v>
      </c>
      <c r="F233" s="2"/>
    </row>
    <row r="234" spans="1:6" x14ac:dyDescent="0.25">
      <c r="A234" s="1" t="s">
        <v>426</v>
      </c>
      <c r="B234" s="2">
        <v>45804</v>
      </c>
      <c r="C234" s="16" t="s">
        <v>427</v>
      </c>
      <c r="D234" s="4">
        <v>45804</v>
      </c>
      <c r="E234" s="5">
        <f>415+7742.79-1409.14</f>
        <v>6748.65</v>
      </c>
      <c r="F234" s="2"/>
    </row>
    <row r="235" spans="1:6" x14ac:dyDescent="0.25">
      <c r="A235" s="1" t="s">
        <v>428</v>
      </c>
      <c r="B235" s="2">
        <v>45867</v>
      </c>
      <c r="C235" s="16" t="s">
        <v>429</v>
      </c>
      <c r="D235" s="4">
        <v>45867</v>
      </c>
      <c r="E235" s="5">
        <f>300+5569.42-1261.73</f>
        <v>4607.6900000000005</v>
      </c>
      <c r="F235" s="2"/>
    </row>
    <row r="236" spans="1:6" x14ac:dyDescent="0.25">
      <c r="A236" s="1" t="s">
        <v>430</v>
      </c>
      <c r="B236" s="2">
        <v>45867</v>
      </c>
      <c r="C236" s="16" t="s">
        <v>431</v>
      </c>
      <c r="D236" s="4">
        <v>45867</v>
      </c>
      <c r="E236" s="5">
        <f>32037.8+1715-2476.05</f>
        <v>31276.750000000004</v>
      </c>
      <c r="F236" s="2"/>
    </row>
    <row r="237" spans="1:6" x14ac:dyDescent="0.25">
      <c r="A237" s="1" t="s">
        <v>432</v>
      </c>
      <c r="B237" s="2">
        <v>45880</v>
      </c>
      <c r="C237" s="16" t="s">
        <v>433</v>
      </c>
      <c r="D237" s="4">
        <v>45880</v>
      </c>
      <c r="E237" s="5">
        <f>860+15821.1-1440.49</f>
        <v>15240.609999999999</v>
      </c>
      <c r="F237" s="2"/>
    </row>
    <row r="238" spans="1:6" x14ac:dyDescent="0.25">
      <c r="A238" s="1" t="s">
        <v>434</v>
      </c>
      <c r="B238" s="2">
        <v>45924</v>
      </c>
      <c r="C238" s="16" t="s">
        <v>435</v>
      </c>
      <c r="D238" s="4">
        <v>45929</v>
      </c>
      <c r="E238" s="5">
        <f>1710+31972.22-1642.95</f>
        <v>32039.27</v>
      </c>
      <c r="F238" s="2"/>
    </row>
    <row r="239" spans="1:6" x14ac:dyDescent="0.25">
      <c r="A239" s="1" t="s">
        <v>436</v>
      </c>
      <c r="B239" s="2">
        <v>45924</v>
      </c>
      <c r="C239" s="16" t="s">
        <v>437</v>
      </c>
      <c r="D239" s="4">
        <v>45929</v>
      </c>
      <c r="E239" s="5">
        <f>1595+29809.86-1597.18</f>
        <v>29807.68</v>
      </c>
      <c r="F239" s="2"/>
    </row>
    <row r="240" spans="1:6" x14ac:dyDescent="0.25">
      <c r="A240" s="1" t="s">
        <v>438</v>
      </c>
      <c r="B240" s="2">
        <v>45985</v>
      </c>
      <c r="C240" s="16" t="s">
        <v>439</v>
      </c>
      <c r="D240" s="4">
        <v>45986</v>
      </c>
      <c r="E240" s="5">
        <f>765+14266.65-1607.36</f>
        <v>13424.289999999999</v>
      </c>
      <c r="F240" s="2"/>
    </row>
    <row r="241" spans="1:6" x14ac:dyDescent="0.25">
      <c r="A241" s="1" t="s">
        <v>440</v>
      </c>
      <c r="B241" s="2">
        <v>45985</v>
      </c>
      <c r="C241" s="16" t="s">
        <v>441</v>
      </c>
      <c r="D241" s="4">
        <v>45986</v>
      </c>
      <c r="E241" s="5">
        <f>470+8786-1761.24</f>
        <v>7494.76</v>
      </c>
      <c r="F241" s="2"/>
    </row>
    <row r="242" spans="1:6" x14ac:dyDescent="0.25">
      <c r="A242" s="1" t="s">
        <v>442</v>
      </c>
      <c r="B242" s="2">
        <v>46099</v>
      </c>
      <c r="C242" s="16" t="s">
        <v>443</v>
      </c>
      <c r="D242" s="4">
        <v>46099</v>
      </c>
      <c r="E242" s="5">
        <f>8953.13+480-1181.85</f>
        <v>8251.2799999999988</v>
      </c>
      <c r="F242" s="2"/>
    </row>
    <row r="243" spans="1:6" x14ac:dyDescent="0.25">
      <c r="A243" s="1" t="s">
        <v>444</v>
      </c>
      <c r="B243" s="2">
        <v>46099</v>
      </c>
      <c r="C243" s="16" t="s">
        <v>445</v>
      </c>
      <c r="D243" s="4">
        <v>46099</v>
      </c>
      <c r="E243" s="5">
        <f>1010+18836.81-1596.83</f>
        <v>18249.980000000003</v>
      </c>
      <c r="F243" s="2"/>
    </row>
    <row r="244" spans="1:6" x14ac:dyDescent="0.25">
      <c r="A244" s="1" t="s">
        <v>446</v>
      </c>
      <c r="B244" s="2">
        <v>46099</v>
      </c>
      <c r="C244" s="16" t="s">
        <v>447</v>
      </c>
      <c r="D244" s="4">
        <v>46099</v>
      </c>
      <c r="E244" s="5">
        <f>605+11288.26-1024.27</f>
        <v>10868.99</v>
      </c>
      <c r="F244" s="2"/>
    </row>
    <row r="245" spans="1:6" x14ac:dyDescent="0.25">
      <c r="E245" s="5">
        <f>SUM(E2:E244)</f>
        <v>1852092.4899999998</v>
      </c>
    </row>
  </sheetData>
  <printOptions gridLines="1"/>
  <pageMargins left="0.25" right="0.25" top="0.75" bottom="0.75" header="0.3" footer="0.3"/>
  <pageSetup scale="64" fitToHeight="0" orientation="landscape" r:id="rId1"/>
  <headerFooter>
    <oddHeader>&amp;CWalton County Clerk of Court
Tax Redemption - Overbids</oddHead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Holli Anderson</dc:creator>
  <cp:lastModifiedBy>Holli Anderson</cp:lastModifiedBy>
  <dcterms:created xsi:type="dcterms:W3CDTF">2026-04-01T18:39:46Z</dcterms:created>
  <dcterms:modified xsi:type="dcterms:W3CDTF">2026-04-01T18:40:08Z</dcterms:modified>
</cp:coreProperties>
</file>